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3374431262f3f7c1/Desktop/Project Week/Day 1/"/>
    </mc:Choice>
  </mc:AlternateContent>
  <xr:revisionPtr revIDLastSave="1" documentId="8_{6CE2F4D1-5D55-452F-B4C3-FDB6A78DBED0}" xr6:coauthVersionLast="47" xr6:coauthVersionMax="47" xr10:uidLastSave="{8250F267-4F10-4DC6-AADF-FF55480FEDE8}"/>
  <bookViews>
    <workbookView xWindow="-120" yWindow="480" windowWidth="20730" windowHeight="11160" activeTab="1" xr2:uid="{325CD2B6-D456-451A-9268-B97BBEC4AF56}"/>
  </bookViews>
  <sheets>
    <sheet name="supply_chain_data" sheetId="1" r:id="rId1"/>
    <sheet name="Dashboard (Execuitive View)" sheetId="4" r:id="rId2"/>
    <sheet name="Pivot Engin" sheetId="3" r:id="rId3"/>
  </sheets>
  <definedNames>
    <definedName name="_xlcn.WorksheetConnection_supply_chain_data.csv.xlsxtbl_SupplyChaim1" hidden="1">tbl_SupplyChaim[]</definedName>
    <definedName name="Slicer_Customer_demographics">#N/A</definedName>
    <definedName name="Slicer_Inspection_results">#N/A</definedName>
    <definedName name="Slicer_Location">#N/A</definedName>
    <definedName name="Slicer_Product_typ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bl_SupplyChaim" name="tbl_SupplyChaim" connection="WorksheetConnection_supply_chain_data.csv.xlsx!tbl_SupplyChaim"/>
        </x15:modelTables>
      </x15:dataModel>
    </ext>
  </extLst>
</workbook>
</file>

<file path=xl/calcChain.xml><?xml version="1.0" encoding="utf-8"?>
<calcChain xmlns="http://schemas.openxmlformats.org/spreadsheetml/2006/main">
  <c r="AB2" i="1" l="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A2" i="1"/>
  <c r="AA3" i="1"/>
  <c r="AA4" i="1"/>
  <c r="AA5" i="1"/>
  <c r="AA6" i="1"/>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C2" i="1"/>
  <c r="AC3" i="1"/>
  <c r="AC4" i="1"/>
  <c r="AC5" i="1"/>
  <c r="AC6" i="1"/>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Y2" i="1"/>
  <c r="Z2" i="1" s="1"/>
  <c r="Y3" i="1"/>
  <c r="Z3" i="1" s="1"/>
  <c r="Y4" i="1"/>
  <c r="Z4" i="1" s="1"/>
  <c r="Y5" i="1"/>
  <c r="Z5" i="1" s="1"/>
  <c r="Y6" i="1"/>
  <c r="Z6" i="1" s="1"/>
  <c r="Y7" i="1"/>
  <c r="Z7" i="1" s="1"/>
  <c r="Y8" i="1"/>
  <c r="Z8" i="1" s="1"/>
  <c r="Y9" i="1"/>
  <c r="Z9" i="1" s="1"/>
  <c r="Y10" i="1"/>
  <c r="Z10" i="1" s="1"/>
  <c r="Y11" i="1"/>
  <c r="Z11" i="1" s="1"/>
  <c r="Y12" i="1"/>
  <c r="Z12" i="1" s="1"/>
  <c r="Y13" i="1"/>
  <c r="Z13" i="1" s="1"/>
  <c r="Y14" i="1"/>
  <c r="Z14" i="1" s="1"/>
  <c r="Y15" i="1"/>
  <c r="Z15" i="1" s="1"/>
  <c r="Y16" i="1"/>
  <c r="Z16" i="1" s="1"/>
  <c r="Y17" i="1"/>
  <c r="Z17" i="1" s="1"/>
  <c r="Y18" i="1"/>
  <c r="Z18" i="1" s="1"/>
  <c r="Y19" i="1"/>
  <c r="Z19" i="1" s="1"/>
  <c r="Y20" i="1"/>
  <c r="Z20" i="1" s="1"/>
  <c r="Y21" i="1"/>
  <c r="Z21" i="1" s="1"/>
  <c r="Y22" i="1"/>
  <c r="Z22" i="1" s="1"/>
  <c r="Y23" i="1"/>
  <c r="Z23" i="1" s="1"/>
  <c r="Y24" i="1"/>
  <c r="Z24" i="1" s="1"/>
  <c r="Y25" i="1"/>
  <c r="Z25" i="1" s="1"/>
  <c r="Y26" i="1"/>
  <c r="Z26" i="1" s="1"/>
  <c r="Y27" i="1"/>
  <c r="Z27" i="1" s="1"/>
  <c r="Y28" i="1"/>
  <c r="Z28" i="1" s="1"/>
  <c r="Y29" i="1"/>
  <c r="Z29" i="1" s="1"/>
  <c r="Y30" i="1"/>
  <c r="Z30" i="1" s="1"/>
  <c r="Y31" i="1"/>
  <c r="Z31" i="1" s="1"/>
  <c r="Y32" i="1"/>
  <c r="Z32" i="1" s="1"/>
  <c r="Y33" i="1"/>
  <c r="Z33" i="1" s="1"/>
  <c r="Y34" i="1"/>
  <c r="Z34" i="1" s="1"/>
  <c r="Y35" i="1"/>
  <c r="Z35" i="1" s="1"/>
  <c r="Y36" i="1"/>
  <c r="Z36" i="1" s="1"/>
  <c r="Y37" i="1"/>
  <c r="Z37" i="1" s="1"/>
  <c r="Y38" i="1"/>
  <c r="Z38" i="1" s="1"/>
  <c r="Y39" i="1"/>
  <c r="Z39" i="1" s="1"/>
  <c r="Y40" i="1"/>
  <c r="Z40" i="1" s="1"/>
  <c r="Y41" i="1"/>
  <c r="Z41" i="1" s="1"/>
  <c r="Y42" i="1"/>
  <c r="Z42" i="1" s="1"/>
  <c r="Y43" i="1"/>
  <c r="Z43" i="1" s="1"/>
  <c r="Y44" i="1"/>
  <c r="Z44" i="1" s="1"/>
  <c r="Y45" i="1"/>
  <c r="Z45" i="1" s="1"/>
  <c r="Y46" i="1"/>
  <c r="Z46" i="1" s="1"/>
  <c r="Y47" i="1"/>
  <c r="Z47" i="1" s="1"/>
  <c r="Y48" i="1"/>
  <c r="Z48" i="1" s="1"/>
  <c r="Y49" i="1"/>
  <c r="Z49" i="1" s="1"/>
  <c r="Y50" i="1"/>
  <c r="Z50" i="1" s="1"/>
  <c r="Y51" i="1"/>
  <c r="Z51" i="1" s="1"/>
  <c r="Y52" i="1"/>
  <c r="Z52" i="1" s="1"/>
  <c r="Y53" i="1"/>
  <c r="Z53" i="1" s="1"/>
  <c r="Y54" i="1"/>
  <c r="Z54" i="1" s="1"/>
  <c r="Y55" i="1"/>
  <c r="Z55" i="1" s="1"/>
  <c r="Y56" i="1"/>
  <c r="Z56" i="1" s="1"/>
  <c r="Y57" i="1"/>
  <c r="Z57" i="1" s="1"/>
  <c r="Y58" i="1"/>
  <c r="Z58" i="1" s="1"/>
  <c r="Y59" i="1"/>
  <c r="Z59" i="1" s="1"/>
  <c r="Y60" i="1"/>
  <c r="Z60" i="1" s="1"/>
  <c r="Y61" i="1"/>
  <c r="Z61" i="1" s="1"/>
  <c r="Y62" i="1"/>
  <c r="Z62" i="1" s="1"/>
  <c r="Y63" i="1"/>
  <c r="Z63" i="1" s="1"/>
  <c r="Y64" i="1"/>
  <c r="Z64" i="1" s="1"/>
  <c r="Y65" i="1"/>
  <c r="Z65" i="1" s="1"/>
  <c r="Y66" i="1"/>
  <c r="Z66" i="1" s="1"/>
  <c r="Y67" i="1"/>
  <c r="Z67" i="1" s="1"/>
  <c r="Y68" i="1"/>
  <c r="Z68" i="1" s="1"/>
  <c r="Y69" i="1"/>
  <c r="Z69" i="1" s="1"/>
  <c r="Y70" i="1"/>
  <c r="Z70" i="1" s="1"/>
  <c r="Y71" i="1"/>
  <c r="Z71" i="1" s="1"/>
  <c r="Y72" i="1"/>
  <c r="Z72" i="1" s="1"/>
  <c r="Y73" i="1"/>
  <c r="Z73" i="1" s="1"/>
  <c r="Y74" i="1"/>
  <c r="Z74" i="1" s="1"/>
  <c r="Y75" i="1"/>
  <c r="Z75" i="1" s="1"/>
  <c r="Y76" i="1"/>
  <c r="Z76" i="1" s="1"/>
  <c r="Y77" i="1"/>
  <c r="Z77" i="1" s="1"/>
  <c r="Y78" i="1"/>
  <c r="Z78" i="1" s="1"/>
  <c r="Y79" i="1"/>
  <c r="Z79" i="1" s="1"/>
  <c r="Y80" i="1"/>
  <c r="Z80" i="1" s="1"/>
  <c r="Y81" i="1"/>
  <c r="Z81" i="1" s="1"/>
  <c r="Y82" i="1"/>
  <c r="Z82" i="1" s="1"/>
  <c r="Y83" i="1"/>
  <c r="Z83" i="1" s="1"/>
  <c r="Y84" i="1"/>
  <c r="Z84" i="1" s="1"/>
  <c r="Y85" i="1"/>
  <c r="Z85" i="1" s="1"/>
  <c r="Y86" i="1"/>
  <c r="Z86" i="1" s="1"/>
  <c r="Y87" i="1"/>
  <c r="Z87" i="1" s="1"/>
  <c r="Y88" i="1"/>
  <c r="Z88" i="1" s="1"/>
  <c r="Y89" i="1"/>
  <c r="Z89" i="1" s="1"/>
  <c r="Y90" i="1"/>
  <c r="Z90" i="1" s="1"/>
  <c r="Y91" i="1"/>
  <c r="Z91" i="1" s="1"/>
  <c r="Y92" i="1"/>
  <c r="Z92" i="1" s="1"/>
  <c r="Y93" i="1"/>
  <c r="Z93" i="1" s="1"/>
  <c r="Y94" i="1"/>
  <c r="Z94" i="1" s="1"/>
  <c r="Y95" i="1"/>
  <c r="Z95" i="1" s="1"/>
  <c r="Y96" i="1"/>
  <c r="Z96" i="1" s="1"/>
  <c r="Y97" i="1"/>
  <c r="Z97" i="1" s="1"/>
  <c r="Y98" i="1"/>
  <c r="Z98" i="1" s="1"/>
  <c r="Y99" i="1"/>
  <c r="Z99" i="1" s="1"/>
  <c r="Y100" i="1"/>
  <c r="Z100" i="1" s="1"/>
  <c r="Y101" i="1"/>
  <c r="Z101"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F3F97B-06E5-4011-83BD-93D58AA123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E783D8A7-9A5A-4A35-AD6D-B85F56D61AA7}" name="WorksheetConnection_supply_chain_data.csv.xlsx!tbl_SupplyChaim" type="102" refreshedVersion="8" minRefreshableVersion="5">
    <extLst>
      <ext xmlns:x15="http://schemas.microsoft.com/office/spreadsheetml/2010/11/main" uri="{DE250136-89BD-433C-8126-D09CA5730AF9}">
        <x15:connection id="tbl_SupplyChaim" autoDelete="1">
          <x15:rangePr sourceName="_xlcn.WorksheetConnection_supply_chain_data.csv.xlsxtbl_SupplyChaim1"/>
        </x15:connection>
      </ext>
    </extLst>
  </connection>
</connections>
</file>

<file path=xl/sharedStrings.xml><?xml version="1.0" encoding="utf-8"?>
<sst xmlns="http://schemas.openxmlformats.org/spreadsheetml/2006/main" count="983" uniqueCount="173">
  <si>
    <t>Product type</t>
  </si>
  <si>
    <t>SKU</t>
  </si>
  <si>
    <t>Price</t>
  </si>
  <si>
    <t>Availability</t>
  </si>
  <si>
    <t>Number of products sold</t>
  </si>
  <si>
    <t>Customer demographics</t>
  </si>
  <si>
    <t>Stock levels</t>
  </si>
  <si>
    <t>Lead times</t>
  </si>
  <si>
    <t>Order quantities</t>
  </si>
  <si>
    <t>Shipping times</t>
  </si>
  <si>
    <t>Shipping carriers</t>
  </si>
  <si>
    <t>Shipping costs</t>
  </si>
  <si>
    <t>Supplier name</t>
  </si>
  <si>
    <t>Location</t>
  </si>
  <si>
    <t>Production volumes</t>
  </si>
  <si>
    <t>Manufacturing costs</t>
  </si>
  <si>
    <t>Inspection results</t>
  </si>
  <si>
    <t>Defect rates</t>
  </si>
  <si>
    <t>Transportation modes</t>
  </si>
  <si>
    <t>Routes</t>
  </si>
  <si>
    <t>Costs</t>
  </si>
  <si>
    <t>haircare</t>
  </si>
  <si>
    <t>SKU0</t>
  </si>
  <si>
    <t>Non-binary</t>
  </si>
  <si>
    <t>Carrier B</t>
  </si>
  <si>
    <t>Supplier 3</t>
  </si>
  <si>
    <t>Mumbai</t>
  </si>
  <si>
    <t>Pending</t>
  </si>
  <si>
    <t>Road</t>
  </si>
  <si>
    <t>Route B</t>
  </si>
  <si>
    <t>skincare</t>
  </si>
  <si>
    <t>SKU1</t>
  </si>
  <si>
    <t>Female</t>
  </si>
  <si>
    <t>Carrier A</t>
  </si>
  <si>
    <t>SKU2</t>
  </si>
  <si>
    <t>Unknown</t>
  </si>
  <si>
    <t>Supplier 1</t>
  </si>
  <si>
    <t>Air</t>
  </si>
  <si>
    <t>Route C</t>
  </si>
  <si>
    <t>SKU3</t>
  </si>
  <si>
    <t>Carrier C</t>
  </si>
  <si>
    <t>Supplier 5</t>
  </si>
  <si>
    <t>Kolkata</t>
  </si>
  <si>
    <t>Fail</t>
  </si>
  <si>
    <t>Rail</t>
  </si>
  <si>
    <t>Route A</t>
  </si>
  <si>
    <t>SKU4</t>
  </si>
  <si>
    <t>Delhi</t>
  </si>
  <si>
    <t>SKU5</t>
  </si>
  <si>
    <t>Supplier 4</t>
  </si>
  <si>
    <t>Bangalore</t>
  </si>
  <si>
    <t>SKU6</t>
  </si>
  <si>
    <t>Male</t>
  </si>
  <si>
    <t>Sea</t>
  </si>
  <si>
    <t>cosmetics</t>
  </si>
  <si>
    <t>SKU7</t>
  </si>
  <si>
    <t>SKU8</t>
  </si>
  <si>
    <t>SKU9</t>
  </si>
  <si>
    <t>Supplier 2</t>
  </si>
  <si>
    <t>Chennai</t>
  </si>
  <si>
    <t>SKU10</t>
  </si>
  <si>
    <t>Pass</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</si>
  <si>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</si>
  <si>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</si>
  <si>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</si>
  <si>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</si>
  <si>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</si>
  <si>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</si>
  <si>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</si>
  <si>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</si>
  <si>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</si>
  <si>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</si>
  <si>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</si>
  <si>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</si>
  <si>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</si>
  <si>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</si>
  <si>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</si>
  <si>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</si>
  <si>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</si>
  <si>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</si>
  <si>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</si>
  <si>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</si>
  <si>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</si>
  <si>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</si>
  <si>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</si>
  <si>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</si>
  <si>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</si>
  <si>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</si>
  <si>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</si>
  <si>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</si>
  <si>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</si>
  <si>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</si>
  <si>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</si>
  <si>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</si>
  <si>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</si>
  <si>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</si>
  <si>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</si>
  <si>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</si>
  <si>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</si>
  <si>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</si>
  <si>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</si>
  <si>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</si>
  <si>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</si>
  <si>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</si>
  <si>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</si>
  <si>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</si>
  <si>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</si>
  <si>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</si>
  <si>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</si>
  <si>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</si>
  <si>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</si>
  <si>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</si>
  <si>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</si>
  <si>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</si>
  <si>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</si>
  <si>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</si>
  <si>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</si>
  <si>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</si>
  <si>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</si>
  <si>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</si>
  <si>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</si>
  <si>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</si>
  <si>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</si>
  <si>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</si>
  <si>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</si>
  <si>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</si>
  <si>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</si>
  <si>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</si>
  <si>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</si>
  <si>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</si>
  <si>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</si>
  <si>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</si>
  <si>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</si>
  <si>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</si>
  <si>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</si>
  <si>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</si>
  <si>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</si>
  <si>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</si>
  <si>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</si>
  <si>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</si>
  <si>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</si>
  <si>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</si>
  <si>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</si>
  <si>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</si>
  <si>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</si>
  <si>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</si>
  <si>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</si>
  <si>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</si>
  <si>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</si>
  <si>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</si>
  <si>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</si>
  <si>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Order Lead Time</t>
  </si>
  <si>
    <t>Total_Cost</t>
  </si>
  <si>
    <t>Grpss_Profit</t>
  </si>
  <si>
    <t>Revenue Generated</t>
  </si>
  <si>
    <t>Gross_Margin</t>
  </si>
  <si>
    <t>Total Lead Time</t>
  </si>
  <si>
    <t>Manufactuing Lead Time</t>
  </si>
  <si>
    <t>Cycle_Risk_Tier</t>
  </si>
  <si>
    <t>Sum of Revenue Generated</t>
  </si>
  <si>
    <t>Row Labels</t>
  </si>
  <si>
    <t>Grand Total</t>
  </si>
  <si>
    <t>Sum of Number of products sold</t>
  </si>
  <si>
    <t>Average of Defect rates</t>
  </si>
  <si>
    <t>Average of Manufactuing Lead Time</t>
  </si>
  <si>
    <t>Sum of Shipping times</t>
  </si>
  <si>
    <t>Average of Shipping costs</t>
  </si>
  <si>
    <t>Count of SKU</t>
  </si>
  <si>
    <t>Average of Manufacturing costs</t>
  </si>
  <si>
    <t>Sum of Costs</t>
  </si>
  <si>
    <t>Sum of Order quantities</t>
  </si>
  <si>
    <t>Benchmark</t>
  </si>
  <si>
    <t>2% Defect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</si>
</sst>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
    <numFmt numFmtId="165" formatCode="0_);\(0\)"/>
    <numFmt numFmtId="166" formatCode="0.00_);\(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4"/>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10" fontId="0" fillId="0" borderId="0" xfId="0" applyNumberFormat="1"/>
    <xf numFmtId="2" fontId="0" fillId="0" borderId="0" xfId="0" applyNumberFormat="1"/>
    <xf numFmtId="0" fontId="0" fillId="0" borderId="0" xfId="0" pivotButton="1"/>
    <xf numFmtId="0" fontId="0" fillId="0" borderId="0" xfId="0" applyAlignment="1">
      <alignment horizontal="left"/>
    </xf>
    <xf numFmtId="165" fontId="0" fillId="0" borderId="0" xfId="0" applyNumberFormat="1"/>
    <xf numFmtId="166" fontId="0" fillId="0" borderId="0" xfId="0" applyNumberFormat="1"/>
    <xf numFmtId="1" fontId="0" fillId="0" borderId="0" xfId="0" applyNumberFormat="1"/>
    <xf numFmtId="0" fontId="0" fillId="0" borderId="0" xfId="0" applyAlignment="1">
      <alignment horizontal="left" indent="1"/>
    </xf>
    <xf numFmtId="0" fontId="18" fillId="0" borderId="0" xfId="0" applyFont="1"/>
    <xf numFmtId="164" fontId="18" fillId="0" borderId="0" xfId="0" applyNumberFormat="1" applyFont="1"/>
    <xf numFmtId="0" fontId="19" fillId="0" borderId="0" xfId="0" applyFont="1"/>
    <xf numFmtId="164" fontId="19" fillId="0" borderId="0" xfId="0" applyNumberFormat="1" applyFont="1"/>
    <xf numFmtId="10" fontId="19" fillId="0" borderId="0" xfId="0" applyNumberFormat="1" applyFont="1"/>
    <xf numFmtId="2" fontId="18"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font>
        <strike val="0"/>
        <outline val="0"/>
        <shadow val="0"/>
        <u val="none"/>
        <vertAlign val="baseline"/>
        <sz val="12"/>
        <color theme="1"/>
        <name val="Calibri"/>
        <family val="2"/>
        <scheme val="minor"/>
      </font>
      <numFmt numFmtId="0" formatCode="General"/>
    </dxf>
    <dxf>
      <font>
        <strike val="0"/>
        <outline val="0"/>
        <shadow val="0"/>
        <u val="none"/>
        <vertAlign val="baseline"/>
        <sz val="12"/>
        <color theme="1"/>
        <name val="Calibri"/>
        <family val="2"/>
        <scheme val="minor"/>
      </font>
      <numFmt numFmtId="164" formatCode="&quot;$&quot;#,##0.00"/>
    </dxf>
    <dxf>
      <numFmt numFmtId="1" formatCode="0"/>
    </dxf>
    <dxf>
      <numFmt numFmtId="164" formatCode="&quot;$&quot;#,##0.00"/>
    </dxf>
    <dxf>
      <numFmt numFmtId="166" formatCode="0.00_);\(0.00\)"/>
    </dxf>
    <dxf>
      <numFmt numFmtId="165" formatCode="0_);\(0\)"/>
    </dxf>
    <dxf>
      <numFmt numFmtId="2" formatCode="0.00"/>
    </dxf>
    <dxf>
      <font>
        <strike val="0"/>
        <outline val="0"/>
        <shadow val="0"/>
        <u val="none"/>
        <vertAlign val="baseline"/>
        <sz val="12"/>
        <color theme="1"/>
        <name val="Calibri"/>
        <family val="2"/>
        <scheme val="minor"/>
      </font>
      <numFmt numFmtId="2" formatCode="0.00"/>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numFmt numFmtId="164" formatCode="&quot;$&quot;#,##0.00"/>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2"/>
        <color theme="1"/>
        <name val="Calibri"/>
        <family val="2"/>
        <scheme val="minor"/>
      </font>
    </dxf>
    <dxf>
      <font>
        <strike val="0"/>
        <outline val="0"/>
        <shadow val="0"/>
        <u val="none"/>
        <vertAlign val="baseline"/>
        <sz val="14"/>
        <color theme="1"/>
        <name val="Calibri"/>
        <family val="2"/>
        <scheme val="minor"/>
      </font>
    </dxf>
    <dxf>
      <font>
        <b/>
        <i val="0"/>
        <sz val="12"/>
        <name val="Calibri"/>
        <family val="2"/>
        <scheme val="minor"/>
      </font>
      <fill>
        <patternFill>
          <bgColor theme="2"/>
        </patternFill>
      </fill>
    </dxf>
    <dxf>
      <fill>
        <patternFill>
          <bgColor theme="1"/>
        </patternFill>
      </fill>
    </dxf>
  </dxfs>
  <tableStyles count="1" defaultTableStyle="TableStyleMedium2" defaultPivotStyle="PivotStyleLight16">
    <tableStyle name="Slicer Style 1" pivot="0" table="0" count="10" xr9:uid="{072AC1C4-687D-485F-81DB-5587B894B539}">
      <tableStyleElement type="wholeTable" dxfId="38"/>
      <tableStyleElement type="headerRow" dxfId="37"/>
    </tableStyle>
  </tableStyles>
  <extLst>
    <ext xmlns:x14="http://schemas.microsoft.com/office/spreadsheetml/2009/9/main" uri="{46F421CA-312F-682f-3DD2-61675219B42D}">
      <x14:dxfs count="8">
        <dxf>
          <fill>
            <patternFill>
              <bgColor theme="1" tint="0.499984740745262"/>
            </patternFill>
          </fill>
        </dxf>
        <dxf>
          <fill>
            <patternFill>
              <bgColor theme="0" tint="-0.24994659260841701"/>
            </patternFill>
          </fill>
        </dxf>
        <dxf>
          <fill>
            <patternFill>
              <bgColor theme="1" tint="0.499984740745262"/>
            </patternFill>
          </fill>
        </dxf>
        <dxf>
          <fill>
            <patternFill>
              <bgColor theme="0" tint="-0.24994659260841701"/>
            </patternFill>
          </fill>
        </dxf>
        <dxf>
          <fill>
            <patternFill>
              <bgColor theme="0" tint="-0.14996795556505021"/>
            </patternFill>
          </fill>
        </dxf>
        <dxf>
          <fill>
            <patternFill>
              <bgColor theme="0" tint="-4.9989318521683403E-2"/>
            </patternFill>
          </fill>
        </dxf>
        <dxf>
          <fill>
            <patternFill>
              <bgColor theme="0" tint="-0.34998626667073579"/>
            </patternFill>
          </fill>
        </dxf>
        <dxf>
          <fill>
            <patternFill>
              <bgColor theme="0" tint="-0.34998626667073579"/>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2.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Engin!PivotTable3</c:name>
    <c:fmtId val="13"/>
  </c:pivotSource>
  <c:chart>
    <c:title>
      <c:tx>
        <c:rich>
          <a:bodyPr rot="0" spcFirstLastPara="1" vertOverflow="ellipsis" vert="horz" wrap="square" anchor="t" anchorCtr="1"/>
          <a:lstStyle/>
          <a:p>
            <a:pPr algn="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r>
              <a:rPr lang="en-US" sz="1050">
                <a:latin typeface="Segoe UI Semibold" panose="020B0702040204020203" pitchFamily="34" charset="0"/>
                <a:cs typeface="Segoe UI Semibold" panose="020B0702040204020203" pitchFamily="34" charset="0"/>
              </a:rPr>
              <a:t>PRODUCT</a:t>
            </a:r>
            <a:r>
              <a:rPr lang="en-US" sz="1050" baseline="0">
                <a:latin typeface="Segoe UI Semibold" panose="020B0702040204020203" pitchFamily="34" charset="0"/>
                <a:cs typeface="Segoe UI Semibold" panose="020B0702040204020203" pitchFamily="34" charset="0"/>
              </a:rPr>
              <a:t> PERFOMANCE</a:t>
            </a:r>
            <a:endParaRPr lang="en-US" sz="1050">
              <a:latin typeface="Segoe UI Semibold" panose="020B0702040204020203" pitchFamily="34" charset="0"/>
              <a:cs typeface="Segoe UI Semibold" panose="020B0702040204020203" pitchFamily="34" charset="0"/>
            </a:endParaRPr>
          </a:p>
        </c:rich>
      </c:tx>
      <c:layout>
        <c:manualLayout>
          <c:xMode val="edge"/>
          <c:yMode val="edge"/>
          <c:x val="0.68515404701860649"/>
          <c:y val="9.2923489744921664E-3"/>
        </c:manualLayout>
      </c:layout>
      <c:overlay val="0"/>
      <c:spPr>
        <a:noFill/>
        <a:ln>
          <a:noFill/>
        </a:ln>
        <a:effectLst/>
      </c:spPr>
      <c:txPr>
        <a:bodyPr rot="0" spcFirstLastPara="1" vertOverflow="ellipsis" vert="horz" wrap="square" anchor="t" anchorCtr="1"/>
        <a:lstStyle/>
        <a:p>
          <a:pPr algn="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0752844872187294E-2"/>
          <c:y val="3.3000091778622391E-2"/>
          <c:w val="0.55283854046747727"/>
          <c:h val="0.8548223042868186"/>
        </c:manualLayout>
      </c:layout>
      <c:barChart>
        <c:barDir val="col"/>
        <c:grouping val="clustered"/>
        <c:varyColors val="0"/>
        <c:ser>
          <c:idx val="1"/>
          <c:order val="1"/>
          <c:tx>
            <c:strRef>
              <c:f>'Pivot Engin'!$H$3</c:f>
              <c:strCache>
                <c:ptCount val="1"/>
                <c:pt idx="0">
                  <c:v>Sum of Revenue Generated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Engin'!$F$4:$F$7</c:f>
              <c:strCache>
                <c:ptCount val="3"/>
                <c:pt idx="0">
                  <c:v>skincare</c:v>
                </c:pt>
                <c:pt idx="1">
                  <c:v>haircare</c:v>
                </c:pt>
                <c:pt idx="2">
                  <c:v>cosmetics</c:v>
                </c:pt>
              </c:strCache>
            </c:strRef>
          </c:cat>
          <c:val>
            <c:numRef>
              <c:f>'Pivot Engin'!$H$4:$H$7</c:f>
              <c:numCache>
                <c:formatCode>General</c:formatCode>
                <c:ptCount val="3"/>
                <c:pt idx="0">
                  <c:v>241628.16213306302</c:v>
                </c:pt>
                <c:pt idx="1">
                  <c:v>174455.39060546222</c:v>
                </c:pt>
                <c:pt idx="2">
                  <c:v>161521.26599948306</c:v>
                </c:pt>
              </c:numCache>
            </c:numRef>
          </c:val>
          <c:extLst>
            <c:ext xmlns:c16="http://schemas.microsoft.com/office/drawing/2014/chart" uri="{C3380CC4-5D6E-409C-BE32-E72D297353CC}">
              <c16:uniqueId val="{00000000-6553-4941-ACB9-043A93FDB83A}"/>
            </c:ext>
          </c:extLst>
        </c:ser>
        <c:dLbls>
          <c:showLegendKey val="0"/>
          <c:showVal val="0"/>
          <c:showCatName val="0"/>
          <c:showSerName val="0"/>
          <c:showPercent val="0"/>
          <c:showBubbleSize val="0"/>
        </c:dLbls>
        <c:gapWidth val="219"/>
        <c:axId val="1156055951"/>
        <c:axId val="1156056431"/>
      </c:barChart>
      <c:lineChart>
        <c:grouping val="standard"/>
        <c:varyColors val="0"/>
        <c:ser>
          <c:idx val="0"/>
          <c:order val="0"/>
          <c:tx>
            <c:strRef>
              <c:f>'Pivot Engin'!$G$3</c:f>
              <c:strCache>
                <c:ptCount val="1"/>
                <c:pt idx="0">
                  <c:v>Sum of Number of products sold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Engin'!$F$4:$F$7</c:f>
              <c:strCache>
                <c:ptCount val="3"/>
                <c:pt idx="0">
                  <c:v>skincare</c:v>
                </c:pt>
                <c:pt idx="1">
                  <c:v>haircare</c:v>
                </c:pt>
                <c:pt idx="2">
                  <c:v>cosmetics</c:v>
                </c:pt>
              </c:strCache>
            </c:strRef>
          </c:cat>
          <c:val>
            <c:numRef>
              <c:f>'Pivot Engin'!$G$4:$G$7</c:f>
              <c:numCache>
                <c:formatCode>General</c:formatCode>
                <c:ptCount val="3"/>
                <c:pt idx="0">
                  <c:v>20731</c:v>
                </c:pt>
                <c:pt idx="1">
                  <c:v>13611</c:v>
                </c:pt>
                <c:pt idx="2">
                  <c:v>11757</c:v>
                </c:pt>
              </c:numCache>
            </c:numRef>
          </c:val>
          <c:smooth val="0"/>
          <c:extLst>
            <c:ext xmlns:c16="http://schemas.microsoft.com/office/drawing/2014/chart" uri="{C3380CC4-5D6E-409C-BE32-E72D297353CC}">
              <c16:uniqueId val="{00000001-6553-4941-ACB9-043A93FDB83A}"/>
            </c:ext>
          </c:extLst>
        </c:ser>
        <c:dLbls>
          <c:showLegendKey val="0"/>
          <c:showVal val="0"/>
          <c:showCatName val="0"/>
          <c:showSerName val="0"/>
          <c:showPercent val="0"/>
          <c:showBubbleSize val="0"/>
        </c:dLbls>
        <c:marker val="1"/>
        <c:smooth val="0"/>
        <c:axId val="1156055951"/>
        <c:axId val="1156056431"/>
      </c:lineChart>
      <c:catAx>
        <c:axId val="115605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56431"/>
        <c:crosses val="autoZero"/>
        <c:auto val="1"/>
        <c:lblAlgn val="ctr"/>
        <c:lblOffset val="100"/>
        <c:noMultiLvlLbl val="0"/>
      </c:catAx>
      <c:valAx>
        <c:axId val="1156056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Engin!PivotTable4</c:name>
    <c:fmtId val="7"/>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TRANDPORT</a:t>
            </a:r>
            <a:r>
              <a:rPr lang="en-US" sz="1100" baseline="0">
                <a:latin typeface="Segoe UI Semibold" panose="020B0702040204020203" pitchFamily="34" charset="0"/>
                <a:cs typeface="Segoe UI Semibold" panose="020B0702040204020203" pitchFamily="34" charset="0"/>
              </a:rPr>
              <a:t> MODE</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74035028794120894"/>
          <c:y val="3.2347522157981528E-3"/>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2138919453227743E-2"/>
          <c:y val="5.4220879640083416E-2"/>
          <c:w val="0.62388470760448467"/>
          <c:h val="0.80824925855437557"/>
        </c:manualLayout>
      </c:layout>
      <c:barChart>
        <c:barDir val="bar"/>
        <c:grouping val="clustered"/>
        <c:varyColors val="0"/>
        <c:ser>
          <c:idx val="0"/>
          <c:order val="0"/>
          <c:tx>
            <c:strRef>
              <c:f>'Pivot Engin'!$L$2</c:f>
              <c:strCache>
                <c:ptCount val="1"/>
                <c:pt idx="0">
                  <c:v>Average of Shipping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Engin'!$K$3:$K$7</c:f>
              <c:strCache>
                <c:ptCount val="4"/>
                <c:pt idx="0">
                  <c:v>Air</c:v>
                </c:pt>
                <c:pt idx="1">
                  <c:v>Rail</c:v>
                </c:pt>
                <c:pt idx="2">
                  <c:v>Road</c:v>
                </c:pt>
                <c:pt idx="3">
                  <c:v>Sea</c:v>
                </c:pt>
              </c:strCache>
            </c:strRef>
          </c:cat>
          <c:val>
            <c:numRef>
              <c:f>'Pivot Engin'!$L$3:$L$7</c:f>
              <c:numCache>
                <c:formatCode>"$"#,##0.00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635D-4EF3-A0A7-2E84ED3FE8E1}"/>
            </c:ext>
          </c:extLst>
        </c:ser>
        <c:ser>
          <c:idx val="1"/>
          <c:order val="1"/>
          <c:tx>
            <c:strRef>
              <c:f>'Pivot Engin'!$M$2</c:f>
              <c:strCache>
                <c:ptCount val="1"/>
                <c:pt idx="0">
                  <c:v>Sum of Shipping times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Engin'!$K$3:$K$7</c:f>
              <c:strCache>
                <c:ptCount val="4"/>
                <c:pt idx="0">
                  <c:v>Air</c:v>
                </c:pt>
                <c:pt idx="1">
                  <c:v>Rail</c:v>
                </c:pt>
                <c:pt idx="2">
                  <c:v>Road</c:v>
                </c:pt>
                <c:pt idx="3">
                  <c:v>Sea</c:v>
                </c:pt>
              </c:strCache>
            </c:strRef>
          </c:cat>
          <c:val>
            <c:numRef>
              <c:f>'Pivot Engin'!$M$3:$M$7</c:f>
              <c:numCache>
                <c:formatCode>0.00</c:formatCode>
                <c:ptCount val="4"/>
                <c:pt idx="0">
                  <c:v>133</c:v>
                </c:pt>
                <c:pt idx="1">
                  <c:v>184</c:v>
                </c:pt>
                <c:pt idx="2">
                  <c:v>137</c:v>
                </c:pt>
                <c:pt idx="3">
                  <c:v>121</c:v>
                </c:pt>
              </c:numCache>
            </c:numRef>
          </c:val>
          <c:extLst>
            <c:ext xmlns:c16="http://schemas.microsoft.com/office/drawing/2014/chart" uri="{C3380CC4-5D6E-409C-BE32-E72D297353CC}">
              <c16:uniqueId val="{00000001-635D-4EF3-A0A7-2E84ED3FE8E1}"/>
            </c:ext>
          </c:extLst>
        </c:ser>
        <c:dLbls>
          <c:showLegendKey val="0"/>
          <c:showVal val="0"/>
          <c:showCatName val="0"/>
          <c:showSerName val="0"/>
          <c:showPercent val="0"/>
          <c:showBubbleSize val="0"/>
        </c:dLbls>
        <c:gapWidth val="115"/>
        <c:overlap val="-20"/>
        <c:axId val="966632367"/>
        <c:axId val="966650127"/>
      </c:barChart>
      <c:catAx>
        <c:axId val="966632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50127"/>
        <c:crosses val="autoZero"/>
        <c:auto val="1"/>
        <c:lblAlgn val="ctr"/>
        <c:lblOffset val="100"/>
        <c:noMultiLvlLbl val="0"/>
      </c:catAx>
      <c:valAx>
        <c:axId val="966650127"/>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Engin!PivotTable9</c:name>
    <c:fmtId val="7"/>
  </c:pivotSource>
  <c:chart>
    <c:title>
      <c:tx>
        <c:rich>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Segoe UI Semibold" panose="020B0702040204020203" pitchFamily="34" charset="0"/>
                <a:cs typeface="Segoe UI Semibold" panose="020B0702040204020203" pitchFamily="34" charset="0"/>
              </a:rPr>
              <a:t>SUPPLIER DEFECT RATE </a:t>
            </a:r>
          </a:p>
          <a:p>
            <a:pPr algn="r">
              <a:defRPr/>
            </a:pPr>
            <a:r>
              <a:rPr lang="en-US" sz="1100" baseline="0">
                <a:latin typeface="Segoe UI Semibold" panose="020B0702040204020203" pitchFamily="34" charset="0"/>
                <a:cs typeface="Segoe UI Semibold" panose="020B0702040204020203" pitchFamily="34" charset="0"/>
              </a:rPr>
              <a:t>&amp; MANUACTURING COST</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66222335571609403"/>
          <c:y val="3.4670565775107437E-3"/>
        </c:manualLayout>
      </c:layout>
      <c:overlay val="0"/>
      <c:spPr>
        <a:noFill/>
        <a:ln>
          <a:noFill/>
        </a:ln>
        <a:effectLst/>
      </c:spPr>
      <c:txPr>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12780948229015E-2"/>
          <c:y val="3.1813276975041022E-2"/>
          <c:w val="0.59923819329312278"/>
          <c:h val="0.86278035863649172"/>
        </c:manualLayout>
      </c:layout>
      <c:barChart>
        <c:barDir val="col"/>
        <c:grouping val="clustered"/>
        <c:varyColors val="0"/>
        <c:ser>
          <c:idx val="0"/>
          <c:order val="0"/>
          <c:tx>
            <c:strRef>
              <c:f>'Pivot Engin'!$P$2</c:f>
              <c:strCache>
                <c:ptCount val="1"/>
                <c:pt idx="0">
                  <c:v>Average of Defect rates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Engin'!$P$3:$P$8</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BC33-4C88-8DE0-5FC5C22CAEAF}"/>
            </c:ext>
          </c:extLst>
        </c:ser>
        <c:ser>
          <c:idx val="1"/>
          <c:order val="1"/>
          <c:tx>
            <c:strRef>
              <c:f>'Pivot Engin'!$Q$2</c:f>
              <c:strCache>
                <c:ptCount val="1"/>
                <c:pt idx="0">
                  <c:v>Average of Manufacturing costs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Engin'!$Q$3:$Q$8</c:f>
              <c:numCache>
                <c:formatCode>General</c:formatCode>
                <c:ptCount val="5"/>
                <c:pt idx="0">
                  <c:v>45.254027195027781</c:v>
                </c:pt>
                <c:pt idx="1">
                  <c:v>41.622514186334527</c:v>
                </c:pt>
                <c:pt idx="2">
                  <c:v>43.634121313780923</c:v>
                </c:pt>
                <c:pt idx="3">
                  <c:v>62.709726881875199</c:v>
                </c:pt>
                <c:pt idx="4">
                  <c:v>44.768243011189483</c:v>
                </c:pt>
              </c:numCache>
            </c:numRef>
          </c:val>
          <c:extLst>
            <c:ext xmlns:c16="http://schemas.microsoft.com/office/drawing/2014/chart" uri="{C3380CC4-5D6E-409C-BE32-E72D297353CC}">
              <c16:uniqueId val="{00000001-BC33-4C88-8DE0-5FC5C22CAEAF}"/>
            </c:ext>
          </c:extLst>
        </c:ser>
        <c:ser>
          <c:idx val="2"/>
          <c:order val="2"/>
          <c:tx>
            <c:strRef>
              <c:f>'Pivot Engin'!$R$2</c:f>
              <c:strCache>
                <c:ptCount val="1"/>
                <c:pt idx="0">
                  <c:v>Count of SKU</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Engin'!$R$3:$R$8</c:f>
              <c:numCache>
                <c:formatCode>General</c:formatCode>
                <c:ptCount val="5"/>
                <c:pt idx="0">
                  <c:v>27</c:v>
                </c:pt>
                <c:pt idx="1">
                  <c:v>22</c:v>
                </c:pt>
                <c:pt idx="2">
                  <c:v>15</c:v>
                </c:pt>
                <c:pt idx="3">
                  <c:v>18</c:v>
                </c:pt>
                <c:pt idx="4">
                  <c:v>18</c:v>
                </c:pt>
              </c:numCache>
            </c:numRef>
          </c:val>
          <c:extLst>
            <c:ext xmlns:c16="http://schemas.microsoft.com/office/drawing/2014/chart" uri="{C3380CC4-5D6E-409C-BE32-E72D297353CC}">
              <c16:uniqueId val="{00000002-BC33-4C88-8DE0-5FC5C22CAEAF}"/>
            </c:ext>
          </c:extLst>
        </c:ser>
        <c:dLbls>
          <c:showLegendKey val="0"/>
          <c:showVal val="0"/>
          <c:showCatName val="0"/>
          <c:showSerName val="0"/>
          <c:showPercent val="0"/>
          <c:showBubbleSize val="0"/>
        </c:dLbls>
        <c:gapWidth val="219"/>
        <c:axId val="1761447311"/>
        <c:axId val="1761445871"/>
      </c:barChart>
      <c:lineChart>
        <c:grouping val="percentStacked"/>
        <c:varyColors val="0"/>
        <c:ser>
          <c:idx val="3"/>
          <c:order val="3"/>
          <c:tx>
            <c:strRef>
              <c:f>'Pivot Engin'!$S$2</c:f>
              <c:strCache>
                <c:ptCount val="1"/>
                <c:pt idx="0">
                  <c:v>2% Defect Rate</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Engin'!$O$3:$O$8</c:f>
              <c:strCache>
                <c:ptCount val="5"/>
                <c:pt idx="0">
                  <c:v>Supplier 1</c:v>
                </c:pt>
                <c:pt idx="1">
                  <c:v>Supplier 2</c:v>
                </c:pt>
                <c:pt idx="2">
                  <c:v>Supplier 3</c:v>
                </c:pt>
                <c:pt idx="3">
                  <c:v>Supplier 4</c:v>
                </c:pt>
                <c:pt idx="4">
                  <c:v>Supplier 5</c:v>
                </c:pt>
              </c:strCache>
            </c:strRef>
          </c:cat>
          <c:val>
            <c:numRef>
              <c:f>'Pivot Engin'!$S$3:$S$8</c:f>
              <c:numCache>
                <c:formatCode>General</c:formatCode>
                <c:ptCount val="5"/>
                <c:pt idx="0">
                  <c:v>0.54</c:v>
                </c:pt>
                <c:pt idx="1">
                  <c:v>0.44</c:v>
                </c:pt>
                <c:pt idx="2">
                  <c:v>0.3</c:v>
                </c:pt>
                <c:pt idx="3">
                  <c:v>0.36</c:v>
                </c:pt>
                <c:pt idx="4">
                  <c:v>0.36</c:v>
                </c:pt>
              </c:numCache>
            </c:numRef>
          </c:val>
          <c:smooth val="0"/>
          <c:extLst>
            <c:ext xmlns:c16="http://schemas.microsoft.com/office/drawing/2014/chart" uri="{C3380CC4-5D6E-409C-BE32-E72D297353CC}">
              <c16:uniqueId val="{00000003-BC33-4C88-8DE0-5FC5C22CAEAF}"/>
            </c:ext>
          </c:extLst>
        </c:ser>
        <c:dLbls>
          <c:showLegendKey val="0"/>
          <c:showVal val="0"/>
          <c:showCatName val="0"/>
          <c:showSerName val="0"/>
          <c:showPercent val="0"/>
          <c:showBubbleSize val="0"/>
        </c:dLbls>
        <c:marker val="1"/>
        <c:smooth val="0"/>
        <c:axId val="1761447311"/>
        <c:axId val="1761445871"/>
      </c:lineChart>
      <c:catAx>
        <c:axId val="176144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445871"/>
        <c:crosses val="autoZero"/>
        <c:auto val="1"/>
        <c:lblAlgn val="ctr"/>
        <c:lblOffset val="100"/>
        <c:noMultiLvlLbl val="0"/>
      </c:catAx>
      <c:valAx>
        <c:axId val="176144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4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Engin!PivotTable6</c:name>
    <c:fmtId val="7"/>
  </c:pivotSource>
  <c:chart>
    <c:title>
      <c:tx>
        <c:rich>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Segoe UI Semibold" panose="020B0702040204020203" pitchFamily="34" charset="0"/>
                <a:cs typeface="Segoe UI Semibold" panose="020B0702040204020203" pitchFamily="34" charset="0"/>
              </a:rPr>
              <a:t>STATE</a:t>
            </a:r>
            <a:r>
              <a:rPr lang="en-US" sz="1100" baseline="0">
                <a:latin typeface="Segoe UI Semibold" panose="020B0702040204020203" pitchFamily="34" charset="0"/>
                <a:cs typeface="Segoe UI Semibold" panose="020B0702040204020203" pitchFamily="34" charset="0"/>
              </a:rPr>
              <a:t> ROUTE COST </a:t>
            </a:r>
          </a:p>
          <a:p>
            <a:pPr algn="r">
              <a:defRPr/>
            </a:pPr>
            <a:r>
              <a:rPr lang="en-US" sz="1100" baseline="0">
                <a:latin typeface="Segoe UI Semibold" panose="020B0702040204020203" pitchFamily="34" charset="0"/>
                <a:cs typeface="Segoe UI Semibold" panose="020B0702040204020203" pitchFamily="34" charset="0"/>
              </a:rPr>
              <a:t>&amp; QUANTITIES</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73705028323003885"/>
          <c:y val="3.4758873690451577E-3"/>
        </c:manualLayout>
      </c:layout>
      <c:overlay val="0"/>
      <c:spPr>
        <a:noFill/>
        <a:ln>
          <a:noFill/>
        </a:ln>
        <a:effectLst/>
      </c:spPr>
      <c:txPr>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73188589658961"/>
          <c:y val="3.1764774456667755E-2"/>
          <c:w val="0.62142348576975859"/>
          <c:h val="0.63986564577369798"/>
        </c:manualLayout>
      </c:layout>
      <c:barChart>
        <c:barDir val="col"/>
        <c:grouping val="clustered"/>
        <c:varyColors val="0"/>
        <c:ser>
          <c:idx val="0"/>
          <c:order val="0"/>
          <c:tx>
            <c:strRef>
              <c:f>'Pivot Engin'!$V$2</c:f>
              <c:strCache>
                <c:ptCount val="1"/>
                <c:pt idx="0">
                  <c:v>Sum of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Engin'!$U$3:$U$22</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Engin'!$V$3:$V$22</c:f>
              <c:numCache>
                <c:formatCode>"$"#,##0.00</c:formatCode>
                <c:ptCount val="15"/>
                <c:pt idx="0">
                  <c:v>6880.7621608821901</c:v>
                </c:pt>
                <c:pt idx="1">
                  <c:v>2343.1258475145869</c:v>
                </c:pt>
                <c:pt idx="2">
                  <c:v>1336.833429901307</c:v>
                </c:pt>
                <c:pt idx="3">
                  <c:v>3714.280873244506</c:v>
                </c:pt>
                <c:pt idx="4">
                  <c:v>5566.6205275221746</c:v>
                </c:pt>
                <c:pt idx="5">
                  <c:v>3154.111791239548</c:v>
                </c:pt>
                <c:pt idx="6">
                  <c:v>2694.5279652368768</c:v>
                </c:pt>
                <c:pt idx="7">
                  <c:v>3800.5856620281666</c:v>
                </c:pt>
                <c:pt idx="8">
                  <c:v>1728.454530159692</c:v>
                </c:pt>
                <c:pt idx="9">
                  <c:v>4440.6433075530485</c:v>
                </c:pt>
                <c:pt idx="10">
                  <c:v>6199.5896424006287</c:v>
                </c:pt>
                <c:pt idx="11">
                  <c:v>1641.512087745851</c:v>
                </c:pt>
                <c:pt idx="12">
                  <c:v>3145.5601874365425</c:v>
                </c:pt>
                <c:pt idx="13">
                  <c:v>4129.4623461357778</c:v>
                </c:pt>
                <c:pt idx="14">
                  <c:v>2148.5078568131607</c:v>
                </c:pt>
              </c:numCache>
            </c:numRef>
          </c:val>
          <c:extLst>
            <c:ext xmlns:c16="http://schemas.microsoft.com/office/drawing/2014/chart" uri="{C3380CC4-5D6E-409C-BE32-E72D297353CC}">
              <c16:uniqueId val="{00000000-FD6F-4604-91A4-761D1BE68711}"/>
            </c:ext>
          </c:extLst>
        </c:ser>
        <c:ser>
          <c:idx val="1"/>
          <c:order val="1"/>
          <c:tx>
            <c:strRef>
              <c:f>'Pivot Engin'!$W$2</c:f>
              <c:strCache>
                <c:ptCount val="1"/>
                <c:pt idx="0">
                  <c:v>Sum of Order quantities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Engin'!$U$3:$U$22</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Engin'!$W$3:$W$22</c:f>
              <c:numCache>
                <c:formatCode>General</c:formatCode>
                <c:ptCount val="15"/>
                <c:pt idx="0">
                  <c:v>426</c:v>
                </c:pt>
                <c:pt idx="1">
                  <c:v>290</c:v>
                </c:pt>
                <c:pt idx="2">
                  <c:v>53</c:v>
                </c:pt>
                <c:pt idx="3">
                  <c:v>344</c:v>
                </c:pt>
                <c:pt idx="4">
                  <c:v>479</c:v>
                </c:pt>
                <c:pt idx="5">
                  <c:v>286</c:v>
                </c:pt>
                <c:pt idx="6">
                  <c:v>189</c:v>
                </c:pt>
                <c:pt idx="7">
                  <c:v>356</c:v>
                </c:pt>
                <c:pt idx="8">
                  <c:v>188</c:v>
                </c:pt>
                <c:pt idx="9">
                  <c:v>535</c:v>
                </c:pt>
                <c:pt idx="10">
                  <c:v>541</c:v>
                </c:pt>
                <c:pt idx="11">
                  <c:v>152</c:v>
                </c:pt>
                <c:pt idx="12">
                  <c:v>350</c:v>
                </c:pt>
                <c:pt idx="13">
                  <c:v>400</c:v>
                </c:pt>
                <c:pt idx="14">
                  <c:v>333</c:v>
                </c:pt>
              </c:numCache>
            </c:numRef>
          </c:val>
          <c:extLst>
            <c:ext xmlns:c16="http://schemas.microsoft.com/office/drawing/2014/chart" uri="{C3380CC4-5D6E-409C-BE32-E72D297353CC}">
              <c16:uniqueId val="{00000001-FD6F-4604-91A4-761D1BE68711}"/>
            </c:ext>
          </c:extLst>
        </c:ser>
        <c:dLbls>
          <c:showLegendKey val="0"/>
          <c:showVal val="0"/>
          <c:showCatName val="0"/>
          <c:showSerName val="0"/>
          <c:showPercent val="0"/>
          <c:showBubbleSize val="0"/>
        </c:dLbls>
        <c:gapWidth val="100"/>
        <c:overlap val="-24"/>
        <c:axId val="966658767"/>
        <c:axId val="966645327"/>
      </c:barChart>
      <c:catAx>
        <c:axId val="966658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45327"/>
        <c:crosses val="autoZero"/>
        <c:auto val="1"/>
        <c:lblAlgn val="ctr"/>
        <c:lblOffset val="100"/>
        <c:noMultiLvlLbl val="0"/>
      </c:catAx>
      <c:valAx>
        <c:axId val="96664532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5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Engin!PivotTable3</c:name>
    <c:fmtId val="0"/>
  </c:pivotSource>
  <c:chart>
    <c:title>
      <c:tx>
        <c:rich>
          <a:bodyPr rot="0" spcFirstLastPara="1" vertOverflow="ellipsis" vert="horz" wrap="square" anchor="t" anchorCtr="1"/>
          <a:lstStyle/>
          <a:p>
            <a:pPr algn="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r>
              <a:rPr lang="en-US" sz="1050">
                <a:latin typeface="Segoe UI Semibold" panose="020B0702040204020203" pitchFamily="34" charset="0"/>
                <a:cs typeface="Segoe UI Semibold" panose="020B0702040204020203" pitchFamily="34" charset="0"/>
              </a:rPr>
              <a:t>PRODUCT</a:t>
            </a:r>
            <a:r>
              <a:rPr lang="en-US" sz="1050" baseline="0">
                <a:latin typeface="Segoe UI Semibold" panose="020B0702040204020203" pitchFamily="34" charset="0"/>
                <a:cs typeface="Segoe UI Semibold" panose="020B0702040204020203" pitchFamily="34" charset="0"/>
              </a:rPr>
              <a:t> PERFOMANCE</a:t>
            </a:r>
            <a:endParaRPr lang="en-US" sz="1050">
              <a:latin typeface="Segoe UI Semibold" panose="020B0702040204020203" pitchFamily="34" charset="0"/>
              <a:cs typeface="Segoe UI Semibold" panose="020B0702040204020203" pitchFamily="34" charset="0"/>
            </a:endParaRPr>
          </a:p>
        </c:rich>
      </c:tx>
      <c:layout>
        <c:manualLayout>
          <c:xMode val="edge"/>
          <c:yMode val="edge"/>
          <c:x val="0.59915108252632099"/>
          <c:y val="9.2923706940556128E-3"/>
        </c:manualLayout>
      </c:layout>
      <c:overlay val="0"/>
      <c:spPr>
        <a:noFill/>
        <a:ln>
          <a:noFill/>
        </a:ln>
        <a:effectLst/>
      </c:spPr>
      <c:txPr>
        <a:bodyPr rot="0" spcFirstLastPara="1" vertOverflow="ellipsis" vert="horz" wrap="square" anchor="t" anchorCtr="1"/>
        <a:lstStyle/>
        <a:p>
          <a:pPr algn="r">
            <a:defRPr sz="105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'Pivot Engin'!$H$3</c:f>
              <c:strCache>
                <c:ptCount val="1"/>
                <c:pt idx="0">
                  <c:v>Sum of Revenue Generated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Engin'!$F$4:$F$7</c:f>
              <c:strCache>
                <c:ptCount val="3"/>
                <c:pt idx="0">
                  <c:v>skincare</c:v>
                </c:pt>
                <c:pt idx="1">
                  <c:v>haircare</c:v>
                </c:pt>
                <c:pt idx="2">
                  <c:v>cosmetics</c:v>
                </c:pt>
              </c:strCache>
            </c:strRef>
          </c:cat>
          <c:val>
            <c:numRef>
              <c:f>'Pivot Engin'!$H$4:$H$7</c:f>
              <c:numCache>
                <c:formatCode>General</c:formatCode>
                <c:ptCount val="3"/>
                <c:pt idx="0">
                  <c:v>241628.16213306302</c:v>
                </c:pt>
                <c:pt idx="1">
                  <c:v>174455.39060546222</c:v>
                </c:pt>
                <c:pt idx="2">
                  <c:v>161521.26599948306</c:v>
                </c:pt>
              </c:numCache>
            </c:numRef>
          </c:val>
          <c:extLst>
            <c:ext xmlns:c16="http://schemas.microsoft.com/office/drawing/2014/chart" uri="{C3380CC4-5D6E-409C-BE32-E72D297353CC}">
              <c16:uniqueId val="{00000001-4CD2-4592-8897-F4C5E0AE4C84}"/>
            </c:ext>
          </c:extLst>
        </c:ser>
        <c:dLbls>
          <c:showLegendKey val="0"/>
          <c:showVal val="0"/>
          <c:showCatName val="0"/>
          <c:showSerName val="0"/>
          <c:showPercent val="0"/>
          <c:showBubbleSize val="0"/>
        </c:dLbls>
        <c:gapWidth val="219"/>
        <c:axId val="1156055951"/>
        <c:axId val="1156056431"/>
      </c:barChart>
      <c:lineChart>
        <c:grouping val="standard"/>
        <c:varyColors val="0"/>
        <c:ser>
          <c:idx val="0"/>
          <c:order val="0"/>
          <c:tx>
            <c:strRef>
              <c:f>'Pivot Engin'!$G$3</c:f>
              <c:strCache>
                <c:ptCount val="1"/>
                <c:pt idx="0">
                  <c:v>Sum of Number of products sold</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Engin'!$F$4:$F$7</c:f>
              <c:strCache>
                <c:ptCount val="3"/>
                <c:pt idx="0">
                  <c:v>skincare</c:v>
                </c:pt>
                <c:pt idx="1">
                  <c:v>haircare</c:v>
                </c:pt>
                <c:pt idx="2">
                  <c:v>cosmetics</c:v>
                </c:pt>
              </c:strCache>
            </c:strRef>
          </c:cat>
          <c:val>
            <c:numRef>
              <c:f>'Pivot Engin'!$G$4:$G$7</c:f>
              <c:numCache>
                <c:formatCode>General</c:formatCode>
                <c:ptCount val="3"/>
                <c:pt idx="0">
                  <c:v>20731</c:v>
                </c:pt>
                <c:pt idx="1">
                  <c:v>13611</c:v>
                </c:pt>
                <c:pt idx="2">
                  <c:v>11757</c:v>
                </c:pt>
              </c:numCache>
            </c:numRef>
          </c:val>
          <c:smooth val="0"/>
          <c:extLst>
            <c:ext xmlns:c16="http://schemas.microsoft.com/office/drawing/2014/chart" uri="{C3380CC4-5D6E-409C-BE32-E72D297353CC}">
              <c16:uniqueId val="{00000000-4CD2-4592-8897-F4C5E0AE4C84}"/>
            </c:ext>
          </c:extLst>
        </c:ser>
        <c:dLbls>
          <c:showLegendKey val="0"/>
          <c:showVal val="0"/>
          <c:showCatName val="0"/>
          <c:showSerName val="0"/>
          <c:showPercent val="0"/>
          <c:showBubbleSize val="0"/>
        </c:dLbls>
        <c:marker val="1"/>
        <c:smooth val="0"/>
        <c:axId val="1156055951"/>
        <c:axId val="1156056431"/>
      </c:lineChart>
      <c:catAx>
        <c:axId val="11560559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56431"/>
        <c:crosses val="autoZero"/>
        <c:auto val="1"/>
        <c:lblAlgn val="ctr"/>
        <c:lblOffset val="100"/>
        <c:noMultiLvlLbl val="0"/>
      </c:catAx>
      <c:valAx>
        <c:axId val="11560564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5605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Engin!PivotTable4</c:name>
    <c:fmtId val="0"/>
  </c:pivotSource>
  <c:chart>
    <c:title>
      <c:tx>
        <c:rich>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r>
              <a:rPr lang="en-US" sz="1100">
                <a:latin typeface="Segoe UI Semibold" panose="020B0702040204020203" pitchFamily="34" charset="0"/>
                <a:cs typeface="Segoe UI Semibold" panose="020B0702040204020203" pitchFamily="34" charset="0"/>
              </a:rPr>
              <a:t>TRANDPORT</a:t>
            </a:r>
            <a:r>
              <a:rPr lang="en-US" sz="1100" baseline="0">
                <a:latin typeface="Segoe UI Semibold" panose="020B0702040204020203" pitchFamily="34" charset="0"/>
                <a:cs typeface="Segoe UI Semibold" panose="020B0702040204020203" pitchFamily="34" charset="0"/>
              </a:rPr>
              <a:t> MODE</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69515486191867937"/>
          <c:y val="9.2592592592592587E-3"/>
        </c:manualLayout>
      </c:layout>
      <c:overlay val="0"/>
      <c:spPr>
        <a:noFill/>
        <a:ln>
          <a:noFill/>
        </a:ln>
        <a:effectLst/>
      </c:spPr>
      <c:txPr>
        <a:bodyPr rot="0" spcFirstLastPara="1" vertOverflow="ellipsis" vert="horz" wrap="square" anchor="ctr" anchorCtr="1"/>
        <a:lstStyle/>
        <a:p>
          <a:pPr>
            <a:defRPr sz="11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Segoe UI Semibold" panose="020B0702040204020203" pitchFamily="34" charset="0"/>
              <a:ea typeface="+mn-ea"/>
              <a:cs typeface="Segoe UI Semibold" panose="020B0702040204020203" pitchFamily="34"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Engin'!$L$2</c:f>
              <c:strCache>
                <c:ptCount val="1"/>
                <c:pt idx="0">
                  <c:v>Average of Shipping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Engin'!$K$3:$K$7</c:f>
              <c:strCache>
                <c:ptCount val="4"/>
                <c:pt idx="0">
                  <c:v>Air</c:v>
                </c:pt>
                <c:pt idx="1">
                  <c:v>Rail</c:v>
                </c:pt>
                <c:pt idx="2">
                  <c:v>Road</c:v>
                </c:pt>
                <c:pt idx="3">
                  <c:v>Sea</c:v>
                </c:pt>
              </c:strCache>
            </c:strRef>
          </c:cat>
          <c:val>
            <c:numRef>
              <c:f>'Pivot Engin'!$L$3:$L$7</c:f>
              <c:numCache>
                <c:formatCode>"$"#,##0.00</c:formatCode>
                <c:ptCount val="4"/>
                <c:pt idx="0">
                  <c:v>6.0178393777286159</c:v>
                </c:pt>
                <c:pt idx="1">
                  <c:v>5.4690979361028562</c:v>
                </c:pt>
                <c:pt idx="2">
                  <c:v>5.542115390045792</c:v>
                </c:pt>
                <c:pt idx="3">
                  <c:v>4.9702938152238989</c:v>
                </c:pt>
              </c:numCache>
            </c:numRef>
          </c:val>
          <c:extLst>
            <c:ext xmlns:c16="http://schemas.microsoft.com/office/drawing/2014/chart" uri="{C3380CC4-5D6E-409C-BE32-E72D297353CC}">
              <c16:uniqueId val="{00000000-95C9-4E00-BABA-8916C7D99A32}"/>
            </c:ext>
          </c:extLst>
        </c:ser>
        <c:ser>
          <c:idx val="1"/>
          <c:order val="1"/>
          <c:tx>
            <c:strRef>
              <c:f>'Pivot Engin'!$M$2</c:f>
              <c:strCache>
                <c:ptCount val="1"/>
                <c:pt idx="0">
                  <c:v>Sum of Shipping times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Engin'!$K$3:$K$7</c:f>
              <c:strCache>
                <c:ptCount val="4"/>
                <c:pt idx="0">
                  <c:v>Air</c:v>
                </c:pt>
                <c:pt idx="1">
                  <c:v>Rail</c:v>
                </c:pt>
                <c:pt idx="2">
                  <c:v>Road</c:v>
                </c:pt>
                <c:pt idx="3">
                  <c:v>Sea</c:v>
                </c:pt>
              </c:strCache>
            </c:strRef>
          </c:cat>
          <c:val>
            <c:numRef>
              <c:f>'Pivot Engin'!$M$3:$M$7</c:f>
              <c:numCache>
                <c:formatCode>0.00</c:formatCode>
                <c:ptCount val="4"/>
                <c:pt idx="0">
                  <c:v>133</c:v>
                </c:pt>
                <c:pt idx="1">
                  <c:v>184</c:v>
                </c:pt>
                <c:pt idx="2">
                  <c:v>137</c:v>
                </c:pt>
                <c:pt idx="3">
                  <c:v>121</c:v>
                </c:pt>
              </c:numCache>
            </c:numRef>
          </c:val>
          <c:extLst>
            <c:ext xmlns:c16="http://schemas.microsoft.com/office/drawing/2014/chart" uri="{C3380CC4-5D6E-409C-BE32-E72D297353CC}">
              <c16:uniqueId val="{00000001-95C9-4E00-BABA-8916C7D99A32}"/>
            </c:ext>
          </c:extLst>
        </c:ser>
        <c:dLbls>
          <c:showLegendKey val="0"/>
          <c:showVal val="0"/>
          <c:showCatName val="0"/>
          <c:showSerName val="0"/>
          <c:showPercent val="0"/>
          <c:showBubbleSize val="0"/>
        </c:dLbls>
        <c:gapWidth val="115"/>
        <c:overlap val="-20"/>
        <c:axId val="966632367"/>
        <c:axId val="966650127"/>
      </c:barChart>
      <c:catAx>
        <c:axId val="96663236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50127"/>
        <c:crosses val="autoZero"/>
        <c:auto val="1"/>
        <c:lblAlgn val="ctr"/>
        <c:lblOffset val="100"/>
        <c:noMultiLvlLbl val="0"/>
      </c:catAx>
      <c:valAx>
        <c:axId val="966650127"/>
        <c:scaling>
          <c:orientation val="minMax"/>
        </c:scaling>
        <c:delete val="0"/>
        <c:axPos val="b"/>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323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Engin!PivotTable9</c:name>
    <c:fmtId val="0"/>
  </c:pivotSource>
  <c:chart>
    <c:title>
      <c:tx>
        <c:rich>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Segoe UI Semibold" panose="020B0702040204020203" pitchFamily="34" charset="0"/>
                <a:cs typeface="Segoe UI Semibold" panose="020B0702040204020203" pitchFamily="34" charset="0"/>
              </a:rPr>
              <a:t>SUPPLIER DEFECT RATE </a:t>
            </a:r>
          </a:p>
          <a:p>
            <a:pPr algn="r">
              <a:defRPr/>
            </a:pPr>
            <a:r>
              <a:rPr lang="en-US" sz="1100" baseline="0">
                <a:latin typeface="Segoe UI Semibold" panose="020B0702040204020203" pitchFamily="34" charset="0"/>
                <a:cs typeface="Segoe UI Semibold" panose="020B0702040204020203" pitchFamily="34" charset="0"/>
              </a:rPr>
              <a:t>&amp; MANUACTURING COST</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60232195418431611"/>
          <c:y val="9.2592761174545811E-3"/>
        </c:manualLayout>
      </c:layout>
      <c:overlay val="0"/>
      <c:spPr>
        <a:noFill/>
        <a:ln>
          <a:noFill/>
        </a:ln>
        <a:effectLst/>
      </c:spPr>
      <c:txPr>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Engin'!$P$2</c:f>
              <c:strCache>
                <c:ptCount val="1"/>
                <c:pt idx="0">
                  <c:v>Average of Defect rates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Engin'!$P$3:$P$8</c:f>
              <c:numCache>
                <c:formatCode>General</c:formatCode>
                <c:ptCount val="5"/>
                <c:pt idx="0">
                  <c:v>1.8036297116882485</c:v>
                </c:pt>
                <c:pt idx="1">
                  <c:v>2.3627501450718764</c:v>
                </c:pt>
                <c:pt idx="2">
                  <c:v>2.4657860307644657</c:v>
                </c:pt>
                <c:pt idx="3">
                  <c:v>2.3373974005913354</c:v>
                </c:pt>
                <c:pt idx="4">
                  <c:v>2.6654083441491982</c:v>
                </c:pt>
              </c:numCache>
            </c:numRef>
          </c:val>
          <c:extLst>
            <c:ext xmlns:c16="http://schemas.microsoft.com/office/drawing/2014/chart" uri="{C3380CC4-5D6E-409C-BE32-E72D297353CC}">
              <c16:uniqueId val="{00000000-CD46-407B-A041-6F983E943723}"/>
            </c:ext>
          </c:extLst>
        </c:ser>
        <c:ser>
          <c:idx val="1"/>
          <c:order val="1"/>
          <c:tx>
            <c:strRef>
              <c:f>'Pivot Engin'!$Q$2</c:f>
              <c:strCache>
                <c:ptCount val="1"/>
                <c:pt idx="0">
                  <c:v>Average of Manufacturing costs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Engin'!$Q$3:$Q$8</c:f>
              <c:numCache>
                <c:formatCode>General</c:formatCode>
                <c:ptCount val="5"/>
                <c:pt idx="0">
                  <c:v>45.254027195027781</c:v>
                </c:pt>
                <c:pt idx="1">
                  <c:v>41.622514186334527</c:v>
                </c:pt>
                <c:pt idx="2">
                  <c:v>43.634121313780923</c:v>
                </c:pt>
                <c:pt idx="3">
                  <c:v>62.709726881875199</c:v>
                </c:pt>
                <c:pt idx="4">
                  <c:v>44.768243011189483</c:v>
                </c:pt>
              </c:numCache>
            </c:numRef>
          </c:val>
          <c:extLst>
            <c:ext xmlns:c16="http://schemas.microsoft.com/office/drawing/2014/chart" uri="{C3380CC4-5D6E-409C-BE32-E72D297353CC}">
              <c16:uniqueId val="{00000001-CD46-407B-A041-6F983E943723}"/>
            </c:ext>
          </c:extLst>
        </c:ser>
        <c:ser>
          <c:idx val="2"/>
          <c:order val="2"/>
          <c:tx>
            <c:strRef>
              <c:f>'Pivot Engin'!$R$2</c:f>
              <c:strCache>
                <c:ptCount val="1"/>
                <c:pt idx="0">
                  <c:v>Count of SKU</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Engin'!$O$3:$O$8</c:f>
              <c:strCache>
                <c:ptCount val="5"/>
                <c:pt idx="0">
                  <c:v>Supplier 1</c:v>
                </c:pt>
                <c:pt idx="1">
                  <c:v>Supplier 2</c:v>
                </c:pt>
                <c:pt idx="2">
                  <c:v>Supplier 3</c:v>
                </c:pt>
                <c:pt idx="3">
                  <c:v>Supplier 4</c:v>
                </c:pt>
                <c:pt idx="4">
                  <c:v>Supplier 5</c:v>
                </c:pt>
              </c:strCache>
            </c:strRef>
          </c:cat>
          <c:val>
            <c:numRef>
              <c:f>'Pivot Engin'!$R$3:$R$8</c:f>
              <c:numCache>
                <c:formatCode>General</c:formatCode>
                <c:ptCount val="5"/>
                <c:pt idx="0">
                  <c:v>27</c:v>
                </c:pt>
                <c:pt idx="1">
                  <c:v>22</c:v>
                </c:pt>
                <c:pt idx="2">
                  <c:v>15</c:v>
                </c:pt>
                <c:pt idx="3">
                  <c:v>18</c:v>
                </c:pt>
                <c:pt idx="4">
                  <c:v>18</c:v>
                </c:pt>
              </c:numCache>
            </c:numRef>
          </c:val>
          <c:extLst>
            <c:ext xmlns:c16="http://schemas.microsoft.com/office/drawing/2014/chart" uri="{C3380CC4-5D6E-409C-BE32-E72D297353CC}">
              <c16:uniqueId val="{00000002-CD46-407B-A041-6F983E943723}"/>
            </c:ext>
          </c:extLst>
        </c:ser>
        <c:dLbls>
          <c:showLegendKey val="0"/>
          <c:showVal val="0"/>
          <c:showCatName val="0"/>
          <c:showSerName val="0"/>
          <c:showPercent val="0"/>
          <c:showBubbleSize val="0"/>
        </c:dLbls>
        <c:gapWidth val="219"/>
        <c:axId val="1761447311"/>
        <c:axId val="1761445871"/>
      </c:barChart>
      <c:lineChart>
        <c:grouping val="percentStacked"/>
        <c:varyColors val="0"/>
        <c:ser>
          <c:idx val="3"/>
          <c:order val="3"/>
          <c:tx>
            <c:strRef>
              <c:f>'Pivot Engin'!$S$2</c:f>
              <c:strCache>
                <c:ptCount val="1"/>
                <c:pt idx="0">
                  <c:v>2% Defect Rate</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'Pivot Engin'!$O$3:$O$8</c:f>
              <c:strCache>
                <c:ptCount val="5"/>
                <c:pt idx="0">
                  <c:v>Supplier 1</c:v>
                </c:pt>
                <c:pt idx="1">
                  <c:v>Supplier 2</c:v>
                </c:pt>
                <c:pt idx="2">
                  <c:v>Supplier 3</c:v>
                </c:pt>
                <c:pt idx="3">
                  <c:v>Supplier 4</c:v>
                </c:pt>
                <c:pt idx="4">
                  <c:v>Supplier 5</c:v>
                </c:pt>
              </c:strCache>
            </c:strRef>
          </c:cat>
          <c:val>
            <c:numRef>
              <c:f>'Pivot Engin'!$S$3:$S$8</c:f>
              <c:numCache>
                <c:formatCode>General</c:formatCode>
                <c:ptCount val="5"/>
                <c:pt idx="0">
                  <c:v>0.54</c:v>
                </c:pt>
                <c:pt idx="1">
                  <c:v>0.44</c:v>
                </c:pt>
                <c:pt idx="2">
                  <c:v>0.3</c:v>
                </c:pt>
                <c:pt idx="3">
                  <c:v>0.36</c:v>
                </c:pt>
                <c:pt idx="4">
                  <c:v>0.36</c:v>
                </c:pt>
              </c:numCache>
            </c:numRef>
          </c:val>
          <c:smooth val="0"/>
          <c:extLst>
            <c:ext xmlns:c16="http://schemas.microsoft.com/office/drawing/2014/chart" uri="{C3380CC4-5D6E-409C-BE32-E72D297353CC}">
              <c16:uniqueId val="{00000003-CD46-407B-A041-6F983E943723}"/>
            </c:ext>
          </c:extLst>
        </c:ser>
        <c:dLbls>
          <c:showLegendKey val="0"/>
          <c:showVal val="0"/>
          <c:showCatName val="0"/>
          <c:showSerName val="0"/>
          <c:showPercent val="0"/>
          <c:showBubbleSize val="0"/>
        </c:dLbls>
        <c:marker val="1"/>
        <c:smooth val="0"/>
        <c:axId val="1761447311"/>
        <c:axId val="1761445871"/>
      </c:lineChart>
      <c:catAx>
        <c:axId val="176144731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445871"/>
        <c:crosses val="autoZero"/>
        <c:auto val="1"/>
        <c:lblAlgn val="ctr"/>
        <c:lblOffset val="100"/>
        <c:noMultiLvlLbl val="0"/>
      </c:catAx>
      <c:valAx>
        <c:axId val="1761445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61447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[Supply_Chain_Dashboard.xlsx]Pivot Engin!PivotTable6</c:name>
    <c:fmtId val="0"/>
  </c:pivotSource>
  <c:chart>
    <c:title>
      <c:tx>
        <c:rich>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latin typeface="Segoe UI Semibold" panose="020B0702040204020203" pitchFamily="34" charset="0"/>
                <a:cs typeface="Segoe UI Semibold" panose="020B0702040204020203" pitchFamily="34" charset="0"/>
              </a:rPr>
              <a:t>STATE</a:t>
            </a:r>
            <a:r>
              <a:rPr lang="en-US" sz="1100" baseline="0">
                <a:latin typeface="Segoe UI Semibold" panose="020B0702040204020203" pitchFamily="34" charset="0"/>
                <a:cs typeface="Segoe UI Semibold" panose="020B0702040204020203" pitchFamily="34" charset="0"/>
              </a:rPr>
              <a:t> ROUTE COST AND QUANTITIES</a:t>
            </a:r>
            <a:endParaRPr lang="en-US" sz="1100">
              <a:latin typeface="Segoe UI Semibold" panose="020B0702040204020203" pitchFamily="34" charset="0"/>
              <a:cs typeface="Segoe UI Semibold" panose="020B0702040204020203" pitchFamily="34" charset="0"/>
            </a:endParaRPr>
          </a:p>
        </c:rich>
      </c:tx>
      <c:layout>
        <c:manualLayout>
          <c:xMode val="edge"/>
          <c:yMode val="edge"/>
          <c:x val="0.35832633420822396"/>
          <c:y val="9.2592592592592587E-3"/>
        </c:manualLayout>
      </c:layout>
      <c:overlay val="0"/>
      <c:spPr>
        <a:noFill/>
        <a:ln>
          <a:noFill/>
        </a:ln>
        <a:effectLst/>
      </c:spPr>
      <c:txPr>
        <a:bodyPr rot="0" spcFirstLastPara="1" vertOverflow="ellipsis" vert="horz" wrap="square" anchor="ctr" anchorCtr="1"/>
        <a:lstStyle/>
        <a:p>
          <a:pPr algn="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Engin'!$V$2</c:f>
              <c:strCache>
                <c:ptCount val="1"/>
                <c:pt idx="0">
                  <c:v>Sum of Costs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Engin'!$U$3:$U$22</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Engin'!$V$3:$V$22</c:f>
              <c:numCache>
                <c:formatCode>"$"#,##0.00</c:formatCode>
                <c:ptCount val="15"/>
                <c:pt idx="0">
                  <c:v>6880.7621608821901</c:v>
                </c:pt>
                <c:pt idx="1">
                  <c:v>2343.1258475145869</c:v>
                </c:pt>
                <c:pt idx="2">
                  <c:v>1336.833429901307</c:v>
                </c:pt>
                <c:pt idx="3">
                  <c:v>3714.280873244506</c:v>
                </c:pt>
                <c:pt idx="4">
                  <c:v>5566.6205275221746</c:v>
                </c:pt>
                <c:pt idx="5">
                  <c:v>3154.111791239548</c:v>
                </c:pt>
                <c:pt idx="6">
                  <c:v>2694.5279652368768</c:v>
                </c:pt>
                <c:pt idx="7">
                  <c:v>3800.5856620281666</c:v>
                </c:pt>
                <c:pt idx="8">
                  <c:v>1728.454530159692</c:v>
                </c:pt>
                <c:pt idx="9">
                  <c:v>4440.6433075530485</c:v>
                </c:pt>
                <c:pt idx="10">
                  <c:v>6199.5896424006287</c:v>
                </c:pt>
                <c:pt idx="11">
                  <c:v>1641.512087745851</c:v>
                </c:pt>
                <c:pt idx="12">
                  <c:v>3145.5601874365425</c:v>
                </c:pt>
                <c:pt idx="13">
                  <c:v>4129.4623461357778</c:v>
                </c:pt>
                <c:pt idx="14">
                  <c:v>2148.5078568131607</c:v>
                </c:pt>
              </c:numCache>
            </c:numRef>
          </c:val>
          <c:extLst>
            <c:ext xmlns:c16="http://schemas.microsoft.com/office/drawing/2014/chart" uri="{C3380CC4-5D6E-409C-BE32-E72D297353CC}">
              <c16:uniqueId val="{00000000-DCBE-4FB0-B4D1-D9653408A5F5}"/>
            </c:ext>
          </c:extLst>
        </c:ser>
        <c:ser>
          <c:idx val="1"/>
          <c:order val="1"/>
          <c:tx>
            <c:strRef>
              <c:f>'Pivot Engin'!$W$2</c:f>
              <c:strCache>
                <c:ptCount val="1"/>
                <c:pt idx="0">
                  <c:v>Sum of Order quantities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'Pivot Engin'!$U$3:$U$22</c:f>
              <c:multiLvlStrCache>
                <c:ptCount val="15"/>
                <c:lvl>
                  <c:pt idx="0">
                    <c:v>Route A</c:v>
                  </c:pt>
                  <c:pt idx="1">
                    <c:v>Route B</c:v>
                  </c:pt>
                  <c:pt idx="2">
                    <c:v>Route C</c:v>
                  </c:pt>
                  <c:pt idx="3">
                    <c:v>Route A</c:v>
                  </c:pt>
                  <c:pt idx="4">
                    <c:v>Route B</c:v>
                  </c:pt>
                  <c:pt idx="5">
                    <c:v>Route C</c:v>
                  </c:pt>
                  <c:pt idx="6">
                    <c:v>Route A</c:v>
                  </c:pt>
                  <c:pt idx="7">
                    <c:v>Route B</c:v>
                  </c:pt>
                  <c:pt idx="8">
                    <c:v>Route C</c:v>
                  </c:pt>
                  <c:pt idx="9">
                    <c:v>Route A</c:v>
                  </c:pt>
                  <c:pt idx="10">
                    <c:v>Route B</c:v>
                  </c:pt>
                  <c:pt idx="11">
                    <c:v>Route C</c:v>
                  </c:pt>
                  <c:pt idx="12">
                    <c:v>Route A</c:v>
                  </c:pt>
                  <c:pt idx="13">
                    <c:v>Route B</c:v>
                  </c:pt>
                  <c:pt idx="14">
                    <c:v>Route C</c:v>
                  </c:pt>
                </c:lvl>
                <c:lvl>
                  <c:pt idx="0">
                    <c:v>Bangalore</c:v>
                  </c:pt>
                  <c:pt idx="3">
                    <c:v>Chennai</c:v>
                  </c:pt>
                  <c:pt idx="6">
                    <c:v>Delhi</c:v>
                  </c:pt>
                  <c:pt idx="9">
                    <c:v>Kolkata</c:v>
                  </c:pt>
                  <c:pt idx="12">
                    <c:v>Mumbai</c:v>
                  </c:pt>
                </c:lvl>
              </c:multiLvlStrCache>
            </c:multiLvlStrRef>
          </c:cat>
          <c:val>
            <c:numRef>
              <c:f>'Pivot Engin'!$W$3:$W$22</c:f>
              <c:numCache>
                <c:formatCode>General</c:formatCode>
                <c:ptCount val="15"/>
                <c:pt idx="0">
                  <c:v>426</c:v>
                </c:pt>
                <c:pt idx="1">
                  <c:v>290</c:v>
                </c:pt>
                <c:pt idx="2">
                  <c:v>53</c:v>
                </c:pt>
                <c:pt idx="3">
                  <c:v>344</c:v>
                </c:pt>
                <c:pt idx="4">
                  <c:v>479</c:v>
                </c:pt>
                <c:pt idx="5">
                  <c:v>286</c:v>
                </c:pt>
                <c:pt idx="6">
                  <c:v>189</c:v>
                </c:pt>
                <c:pt idx="7">
                  <c:v>356</c:v>
                </c:pt>
                <c:pt idx="8">
                  <c:v>188</c:v>
                </c:pt>
                <c:pt idx="9">
                  <c:v>535</c:v>
                </c:pt>
                <c:pt idx="10">
                  <c:v>541</c:v>
                </c:pt>
                <c:pt idx="11">
                  <c:v>152</c:v>
                </c:pt>
                <c:pt idx="12">
                  <c:v>350</c:v>
                </c:pt>
                <c:pt idx="13">
                  <c:v>400</c:v>
                </c:pt>
                <c:pt idx="14">
                  <c:v>333</c:v>
                </c:pt>
              </c:numCache>
            </c:numRef>
          </c:val>
          <c:extLst>
            <c:ext xmlns:c16="http://schemas.microsoft.com/office/drawing/2014/chart" uri="{C3380CC4-5D6E-409C-BE32-E72D297353CC}">
              <c16:uniqueId val="{00000001-DCBE-4FB0-B4D1-D9653408A5F5}"/>
            </c:ext>
          </c:extLst>
        </c:ser>
        <c:dLbls>
          <c:showLegendKey val="0"/>
          <c:showVal val="0"/>
          <c:showCatName val="0"/>
          <c:showSerName val="0"/>
          <c:showPercent val="0"/>
          <c:showBubbleSize val="0"/>
        </c:dLbls>
        <c:gapWidth val="100"/>
        <c:overlap val="-24"/>
        <c:axId val="966658767"/>
        <c:axId val="966645327"/>
      </c:barChart>
      <c:catAx>
        <c:axId val="96665876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45327"/>
        <c:crosses val="autoZero"/>
        <c:auto val="1"/>
        <c:lblAlgn val="ctr"/>
        <c:lblOffset val="100"/>
        <c:noMultiLvlLbl val="0"/>
      </c:catAx>
      <c:valAx>
        <c:axId val="966645327"/>
        <c:scaling>
          <c:orientation val="minMax"/>
        </c:scaling>
        <c:delete val="0"/>
        <c:axPos val="l"/>
        <c:majorGridlines>
          <c:spPr>
            <a:ln w="9525" cap="flat" cmpd="sng" algn="ctr">
              <a:solidFill>
                <a:schemeClr val="lt1">
                  <a:lumMod val="95000"/>
                  <a:alpha val="1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666587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2</xdr:row>
      <xdr:rowOff>171450</xdr:rowOff>
    </xdr:from>
    <xdr:to>
      <xdr:col>25</xdr:col>
      <xdr:colOff>31739</xdr:colOff>
      <xdr:row>46</xdr:row>
      <xdr:rowOff>19844</xdr:rowOff>
    </xdr:to>
    <xdr:pic>
      <xdr:nvPicPr>
        <xdr:cNvPr id="6" name="Picture 5">
          <a:extLst>
            <a:ext uri="{FF2B5EF4-FFF2-40B4-BE49-F238E27FC236}">
              <a16:creationId xmlns:a16="http://schemas.microsoft.com/office/drawing/2014/main" id="{AC853927-8DFB-FD00-E804-08FF870209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9064" y="544167"/>
          <a:ext cx="14414903" cy="8048177"/>
        </a:xfrm>
        <a:prstGeom prst="rect">
          <a:avLst/>
        </a:prstGeom>
      </xdr:spPr>
    </xdr:pic>
    <xdr:clientData/>
  </xdr:twoCellAnchor>
  <xdr:twoCellAnchor>
    <xdr:from>
      <xdr:col>4</xdr:col>
      <xdr:colOff>535781</xdr:colOff>
      <xdr:row>7</xdr:row>
      <xdr:rowOff>68036</xdr:rowOff>
    </xdr:from>
    <xdr:to>
      <xdr:col>9</xdr:col>
      <xdr:colOff>384202</xdr:colOff>
      <xdr:row>18</xdr:row>
      <xdr:rowOff>164087</xdr:rowOff>
    </xdr:to>
    <xdr:sp macro="" textlink="'Pivot Engin'!A4">
      <xdr:nvSpPr>
        <xdr:cNvPr id="7" name="TextBox 6">
          <a:extLst>
            <a:ext uri="{FF2B5EF4-FFF2-40B4-BE49-F238E27FC236}">
              <a16:creationId xmlns:a16="http://schemas.microsoft.com/office/drawing/2014/main" id="{B24CDD62-76D8-E2CA-03C3-782EA278C3E1}"/>
            </a:ext>
          </a:extLst>
        </xdr:cNvPr>
        <xdr:cNvSpPr txBox="1"/>
      </xdr:nvSpPr>
      <xdr:spPr>
        <a:xfrm>
          <a:off x="2969058" y="1412742"/>
          <a:ext cx="2890018" cy="2209160"/>
        </a:xfrm>
        <a:prstGeom prst="roundRect">
          <a:avLst>
            <a:gd name="adj" fmla="val 363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cene3d>
            <a:camera prst="orthographicFront"/>
            <a:lightRig rig="threePt" dir="t"/>
          </a:scene3d>
          <a:sp3d extrusionH="57150">
            <a:bevelT w="38100" h="38100" prst="angle"/>
          </a:sp3d>
        </a:bodyPr>
        <a:lstStyle/>
        <a:p>
          <a:pPr algn="ctr"/>
          <a:r>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TOTAL</a:t>
          </a:r>
          <a:r>
            <a:rPr lang="en-US" sz="1800" b="1" i="0" u="none" strike="noStrike" cap="none" spc="50" baseline="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 REVENUE</a:t>
          </a:r>
        </a:p>
        <a:p>
          <a:pPr algn="ctr"/>
          <a:endParaRPr lang="en-US" sz="1800" b="1" i="0" u="none" strike="noStrike" cap="none" spc="50" baseline="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a:p>
          <a:pPr algn="ctr"/>
          <a:fld id="{863010A3-C75C-4832-BC2F-4552AC0AF689}" type="TxLink">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pPr algn="ctr"/>
            <a:t>$577,604.82</a:t>
          </a:fld>
          <a:endParaRPr lang="en-US" sz="1800" b="1"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endParaRPr>
        </a:p>
      </xdr:txBody>
    </xdr:sp>
    <xdr:clientData/>
  </xdr:twoCellAnchor>
  <xdr:twoCellAnchor>
    <xdr:from>
      <xdr:col>9</xdr:col>
      <xdr:colOff>546395</xdr:colOff>
      <xdr:row>7</xdr:row>
      <xdr:rowOff>66818</xdr:rowOff>
    </xdr:from>
    <xdr:to>
      <xdr:col>14</xdr:col>
      <xdr:colOff>418871</xdr:colOff>
      <xdr:row>18</xdr:row>
      <xdr:rowOff>162869</xdr:rowOff>
    </xdr:to>
    <xdr:sp macro="" textlink="'Pivot Engin'!C4">
      <xdr:nvSpPr>
        <xdr:cNvPr id="11" name="TextBox 10">
          <a:extLst>
            <a:ext uri="{FF2B5EF4-FFF2-40B4-BE49-F238E27FC236}">
              <a16:creationId xmlns:a16="http://schemas.microsoft.com/office/drawing/2014/main" id="{4AEE4D5D-083E-4BB0-AFC4-6C1C24BB642A}"/>
            </a:ext>
          </a:extLst>
        </xdr:cNvPr>
        <xdr:cNvSpPr txBox="1"/>
      </xdr:nvSpPr>
      <xdr:spPr>
        <a:xfrm>
          <a:off x="6020401" y="1392285"/>
          <a:ext cx="2913590" cy="2178927"/>
        </a:xfrm>
        <a:prstGeom prst="roundRect">
          <a:avLst>
            <a:gd name="adj" fmla="val 363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cene3d>
            <a:camera prst="orthographicFront"/>
            <a:lightRig rig="threePt" dir="t"/>
          </a:scene3d>
          <a:sp3d extrusionH="57150">
            <a:bevelT w="38100" h="38100" prst="angle"/>
          </a:sp3d>
        </a:bodyPr>
        <a:lstStyle/>
        <a:p>
          <a:pPr algn="ctr"/>
          <a:r>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AVG</a:t>
          </a:r>
          <a:r>
            <a:rPr lang="en-US" sz="1800" b="1" i="0" u="none" strike="noStrike" cap="none" spc="50" baseline="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 DEFECT RATE</a:t>
          </a:r>
        </a:p>
        <a:p>
          <a:pPr algn="ctr"/>
          <a:endPar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a:p>
          <a:pPr algn="ctr"/>
          <a:fld id="{C7082FC4-42D7-42E3-8E65-206023F5FE46}" type="TxLink">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pPr algn="ctr"/>
            <a:t>2.28 </a:t>
          </a:fld>
          <a:endParaRPr lang="en-US" sz="24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14</xdr:col>
      <xdr:colOff>595262</xdr:colOff>
      <xdr:row>7</xdr:row>
      <xdr:rowOff>53566</xdr:rowOff>
    </xdr:from>
    <xdr:to>
      <xdr:col>19</xdr:col>
      <xdr:colOff>443683</xdr:colOff>
      <xdr:row>18</xdr:row>
      <xdr:rowOff>160663</xdr:rowOff>
    </xdr:to>
    <xdr:sp macro="" textlink="'Pivot Engin'!D4">
      <xdr:nvSpPr>
        <xdr:cNvPr id="12" name="TextBox 11">
          <a:extLst>
            <a:ext uri="{FF2B5EF4-FFF2-40B4-BE49-F238E27FC236}">
              <a16:creationId xmlns:a16="http://schemas.microsoft.com/office/drawing/2014/main" id="{6BC54A01-299B-404B-A92C-38E9C8CCE91E}"/>
            </a:ext>
          </a:extLst>
        </xdr:cNvPr>
        <xdr:cNvSpPr txBox="1"/>
      </xdr:nvSpPr>
      <xdr:spPr>
        <a:xfrm>
          <a:off x="9110382" y="1379033"/>
          <a:ext cx="2889536" cy="2189973"/>
        </a:xfrm>
        <a:prstGeom prst="roundRect">
          <a:avLst>
            <a:gd name="adj" fmla="val 363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cene3d>
            <a:camera prst="orthographicFront"/>
            <a:lightRig rig="threePt" dir="t"/>
          </a:scene3d>
          <a:sp3d extrusionH="57150">
            <a:bevelT w="38100" h="38100" prst="angle"/>
          </a:sp3d>
        </a:bodyPr>
        <a:lstStyle/>
        <a:p>
          <a:pPr algn="ctr"/>
          <a:r>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AVG MFG LEAD TIME</a:t>
          </a:r>
        </a:p>
        <a:p>
          <a:pPr algn="ctr"/>
          <a:endPar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a:p>
          <a:pPr algn="ctr"/>
          <a:fld id="{A4D86B13-9B35-472B-ADC1-5B81D6A9968A}" type="TxLink">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pPr algn="ctr"/>
            <a:t>15 </a:t>
          </a:fld>
          <a:endParaRPr lang="en-US" sz="24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20</xdr:col>
      <xdr:colOff>22934</xdr:colOff>
      <xdr:row>7</xdr:row>
      <xdr:rowOff>40314</xdr:rowOff>
    </xdr:from>
    <xdr:to>
      <xdr:col>24</xdr:col>
      <xdr:colOff>471844</xdr:colOff>
      <xdr:row>18</xdr:row>
      <xdr:rowOff>166401</xdr:rowOff>
    </xdr:to>
    <xdr:sp macro="" textlink="'Pivot Engin'!B4">
      <xdr:nvSpPr>
        <xdr:cNvPr id="13" name="TextBox 12">
          <a:extLst>
            <a:ext uri="{FF2B5EF4-FFF2-40B4-BE49-F238E27FC236}">
              <a16:creationId xmlns:a16="http://schemas.microsoft.com/office/drawing/2014/main" id="{C080A1D2-D1BA-4350-9F47-DE566CA428AC}"/>
            </a:ext>
          </a:extLst>
        </xdr:cNvPr>
        <xdr:cNvSpPr txBox="1"/>
      </xdr:nvSpPr>
      <xdr:spPr>
        <a:xfrm>
          <a:off x="12187392" y="1365781"/>
          <a:ext cx="2881801" cy="2208963"/>
        </a:xfrm>
        <a:prstGeom prst="roundRect">
          <a:avLst>
            <a:gd name="adj" fmla="val 3630"/>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wrap="square" rtlCol="0" anchor="ctr">
          <a:scene3d>
            <a:camera prst="orthographicFront"/>
            <a:lightRig rig="threePt" dir="t"/>
          </a:scene3d>
          <a:sp3d extrusionH="57150">
            <a:bevelT w="38100" h="38100" prst="angle"/>
          </a:sp3d>
        </a:bodyPr>
        <a:lstStyle/>
        <a:p>
          <a:pPr algn="ctr"/>
          <a:r>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t>UNIT SOLD</a:t>
          </a:r>
        </a:p>
        <a:p>
          <a:pPr algn="ctr"/>
          <a:endPar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a:p>
          <a:pPr algn="ctr"/>
          <a:fld id="{C951A0A6-2952-4D0C-9BEB-187DFFB84A59}" type="TxLink">
            <a:rPr lang="en-US" sz="18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rPr>
            <a:pPr algn="ctr"/>
            <a:t>46099</a:t>
          </a:fld>
          <a:endParaRPr lang="en-US" sz="2400" b="1" i="0" u="none" strike="noStrike" cap="none" spc="50">
            <a:ln w="0"/>
            <a:solidFill>
              <a:schemeClr val="bg1"/>
            </a:solidFill>
            <a:effectLst>
              <a:innerShdw blurRad="63500" dist="50800" dir="13500000">
                <a:srgbClr val="000000">
                  <a:alpha val="50000"/>
                </a:srgbClr>
              </a:innerShdw>
              <a:reflection blurRad="6350" stA="55000" endA="300" endPos="45500" dir="5400000" sy="-100000" algn="bl" rotWithShape="0"/>
            </a:effectLst>
            <a:latin typeface="Segoe UI Black" panose="020B0A02040204020203" pitchFamily="34" charset="0"/>
            <a:ea typeface="Segoe UI Black" panose="020B0A02040204020203" pitchFamily="34" charset="0"/>
            <a:cs typeface="Calibri"/>
          </a:endParaRPr>
        </a:p>
      </xdr:txBody>
    </xdr:sp>
    <xdr:clientData/>
  </xdr:twoCellAnchor>
  <xdr:twoCellAnchor>
    <xdr:from>
      <xdr:col>0</xdr:col>
      <xdr:colOff>608319</xdr:colOff>
      <xdr:row>2</xdr:row>
      <xdr:rowOff>165653</xdr:rowOff>
    </xdr:from>
    <xdr:to>
      <xdr:col>25</xdr:col>
      <xdr:colOff>24013</xdr:colOff>
      <xdr:row>4</xdr:row>
      <xdr:rowOff>172138</xdr:rowOff>
    </xdr:to>
    <xdr:sp macro="" textlink="">
      <xdr:nvSpPr>
        <xdr:cNvPr id="14" name="TextBox 13">
          <a:extLst>
            <a:ext uri="{FF2B5EF4-FFF2-40B4-BE49-F238E27FC236}">
              <a16:creationId xmlns:a16="http://schemas.microsoft.com/office/drawing/2014/main" id="{96D27624-BFB3-678D-6DC6-2EF4936F5C8C}"/>
            </a:ext>
          </a:extLst>
        </xdr:cNvPr>
        <xdr:cNvSpPr txBox="1"/>
      </xdr:nvSpPr>
      <xdr:spPr>
        <a:xfrm>
          <a:off x="608319" y="549855"/>
          <a:ext cx="14623677" cy="390686"/>
        </a:xfrm>
        <a:prstGeom prst="rect">
          <a:avLst/>
        </a:prstGeom>
        <a:ln/>
      </xdr:spPr>
      <xdr:style>
        <a:lnRef idx="0">
          <a:schemeClr val="dk1"/>
        </a:lnRef>
        <a:fillRef idx="3">
          <a:schemeClr val="dk1"/>
        </a:fillRef>
        <a:effectRef idx="3">
          <a:schemeClr val="dk1"/>
        </a:effectRef>
        <a:fontRef idx="minor">
          <a:schemeClr val="lt1"/>
        </a:fontRef>
      </xdr:style>
      <xdr:txBody>
        <a:bodyPr vertOverflow="clip" horzOverflow="clip" wrap="square" rtlCol="0" anchor="ctr"/>
        <a:lstStyle/>
        <a:p>
          <a:pPr algn="ctr"/>
          <a:r>
            <a:rPr lang="en-US" sz="2000">
              <a:ln>
                <a:noFill/>
              </a:ln>
              <a:latin typeface="Segoe UI Black" panose="020B0A02040204020203" pitchFamily="34" charset="0"/>
              <a:ea typeface="Segoe UI Black" panose="020B0A02040204020203" pitchFamily="34" charset="0"/>
            </a:rPr>
            <a:t>SUPPLY</a:t>
          </a:r>
          <a:r>
            <a:rPr lang="en-US" sz="2000" baseline="0">
              <a:ln>
                <a:noFill/>
              </a:ln>
              <a:latin typeface="Segoe UI Black" panose="020B0A02040204020203" pitchFamily="34" charset="0"/>
              <a:ea typeface="Segoe UI Black" panose="020B0A02040204020203" pitchFamily="34" charset="0"/>
            </a:rPr>
            <a:t> CHAIN &amp; LOGESTICS ITELLIGENCE DASHBOARD</a:t>
          </a:r>
          <a:endParaRPr lang="en-US" sz="2000">
            <a:ln>
              <a:noFill/>
            </a:ln>
            <a:latin typeface="Segoe UI Black" panose="020B0A02040204020203" pitchFamily="34" charset="0"/>
            <a:ea typeface="Segoe UI Black" panose="020B0A02040204020203" pitchFamily="34" charset="0"/>
          </a:endParaRPr>
        </a:p>
      </xdr:txBody>
    </xdr:sp>
    <xdr:clientData/>
  </xdr:twoCellAnchor>
  <xdr:twoCellAnchor>
    <xdr:from>
      <xdr:col>1</xdr:col>
      <xdr:colOff>7455</xdr:colOff>
      <xdr:row>4</xdr:row>
      <xdr:rowOff>154923</xdr:rowOff>
    </xdr:from>
    <xdr:to>
      <xdr:col>25</xdr:col>
      <xdr:colOff>16009</xdr:colOff>
      <xdr:row>6</xdr:row>
      <xdr:rowOff>91808</xdr:rowOff>
    </xdr:to>
    <xdr:sp macro="" textlink="">
      <xdr:nvSpPr>
        <xdr:cNvPr id="16" name="TextBox 15">
          <a:extLst>
            <a:ext uri="{FF2B5EF4-FFF2-40B4-BE49-F238E27FC236}">
              <a16:creationId xmlns:a16="http://schemas.microsoft.com/office/drawing/2014/main" id="{7A179E24-DBF1-4A7B-A71B-E4515E62C1A4}"/>
            </a:ext>
          </a:extLst>
        </xdr:cNvPr>
        <xdr:cNvSpPr txBox="1"/>
      </xdr:nvSpPr>
      <xdr:spPr>
        <a:xfrm>
          <a:off x="615774" y="923326"/>
          <a:ext cx="14608218" cy="321087"/>
        </a:xfrm>
        <a:prstGeom prst="rect">
          <a:avLst/>
        </a:prstGeom>
        <a:ln>
          <a:solidFill>
            <a:sysClr val="windowText" lastClr="000000"/>
          </a:solidFill>
        </a:ln>
      </xdr:spPr>
      <xdr:style>
        <a:lnRef idx="3">
          <a:schemeClr val="lt1"/>
        </a:lnRef>
        <a:fillRef idx="1">
          <a:schemeClr val="dk1"/>
        </a:fillRef>
        <a:effectRef idx="1">
          <a:schemeClr val="dk1"/>
        </a:effectRef>
        <a:fontRef idx="minor">
          <a:schemeClr val="lt1"/>
        </a:fontRef>
      </xdr:style>
      <xdr:txBody>
        <a:bodyPr vertOverflow="clip" horzOverflow="clip" wrap="square" rtlCol="0" anchor="ctr"/>
        <a:lstStyle/>
        <a:p>
          <a:pPr algn="ctr"/>
          <a:r>
            <a:rPr lang="en-US" sz="1600">
              <a:solidFill>
                <a:schemeClr val="bg2"/>
              </a:solidFill>
              <a:latin typeface="Segoe UI Semibold" panose="020B0702040204020203" pitchFamily="34" charset="0"/>
              <a:ea typeface="Segoe UI Black" panose="020B0A02040204020203" pitchFamily="34" charset="0"/>
              <a:cs typeface="Segoe UI Semibold" panose="020B0702040204020203" pitchFamily="34" charset="0"/>
            </a:rPr>
            <a:t>Executive</a:t>
          </a:r>
          <a:r>
            <a:rPr lang="en-US" sz="1600" baseline="0">
              <a:solidFill>
                <a:schemeClr val="bg2"/>
              </a:solidFill>
              <a:latin typeface="Segoe UI Semibold" panose="020B0702040204020203" pitchFamily="34" charset="0"/>
              <a:ea typeface="Segoe UI Black" panose="020B0A02040204020203" pitchFamily="34" charset="0"/>
              <a:cs typeface="Segoe UI Semibold" panose="020B0702040204020203" pitchFamily="34" charset="0"/>
            </a:rPr>
            <a:t> View . Live Dynamic Slicer Engine . Source: Global Opration</a:t>
          </a:r>
          <a:endParaRPr lang="en-US" sz="1600">
            <a:solidFill>
              <a:schemeClr val="bg2"/>
            </a:solidFill>
            <a:latin typeface="Segoe UI Semibold" panose="020B0702040204020203" pitchFamily="34" charset="0"/>
            <a:ea typeface="Segoe UI Black" panose="020B0A02040204020203" pitchFamily="34" charset="0"/>
            <a:cs typeface="Segoe UI Semibold" panose="020B0702040204020203" pitchFamily="34" charset="0"/>
          </a:endParaRPr>
        </a:p>
      </xdr:txBody>
    </xdr:sp>
    <xdr:clientData/>
  </xdr:twoCellAnchor>
  <xdr:twoCellAnchor>
    <xdr:from>
      <xdr:col>4</xdr:col>
      <xdr:colOff>533629</xdr:colOff>
      <xdr:row>19</xdr:row>
      <xdr:rowOff>91807</xdr:rowOff>
    </xdr:from>
    <xdr:to>
      <xdr:col>14</xdr:col>
      <xdr:colOff>424608</xdr:colOff>
      <xdr:row>30</xdr:row>
      <xdr:rowOff>183615</xdr:rowOff>
    </xdr:to>
    <xdr:graphicFrame macro="">
      <xdr:nvGraphicFramePr>
        <xdr:cNvPr id="17" name="Chart 16">
          <a:extLst>
            <a:ext uri="{FF2B5EF4-FFF2-40B4-BE49-F238E27FC236}">
              <a16:creationId xmlns:a16="http://schemas.microsoft.com/office/drawing/2014/main" id="{D2AA9925-6A5F-4D49-82BB-988E932333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596747</xdr:colOff>
      <xdr:row>19</xdr:row>
      <xdr:rowOff>91808</xdr:rowOff>
    </xdr:from>
    <xdr:to>
      <xdr:col>24</xdr:col>
      <xdr:colOff>481988</xdr:colOff>
      <xdr:row>30</xdr:row>
      <xdr:rowOff>177878</xdr:rowOff>
    </xdr:to>
    <xdr:graphicFrame macro="">
      <xdr:nvGraphicFramePr>
        <xdr:cNvPr id="18" name="Chart 17">
          <a:extLst>
            <a:ext uri="{FF2B5EF4-FFF2-40B4-BE49-F238E27FC236}">
              <a16:creationId xmlns:a16="http://schemas.microsoft.com/office/drawing/2014/main" id="{0055C5C0-C199-4E2D-92B1-98042048D3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535781</xdr:colOff>
      <xdr:row>31</xdr:row>
      <xdr:rowOff>99221</xdr:rowOff>
    </xdr:from>
    <xdr:to>
      <xdr:col>14</xdr:col>
      <xdr:colOff>456406</xdr:colOff>
      <xdr:row>43</xdr:row>
      <xdr:rowOff>86069</xdr:rowOff>
    </xdr:to>
    <xdr:graphicFrame macro="">
      <xdr:nvGraphicFramePr>
        <xdr:cNvPr id="19" name="Chart 18">
          <a:extLst>
            <a:ext uri="{FF2B5EF4-FFF2-40B4-BE49-F238E27FC236}">
              <a16:creationId xmlns:a16="http://schemas.microsoft.com/office/drawing/2014/main" id="{707DE195-6557-425E-828C-D21CD3F167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585272</xdr:colOff>
      <xdr:row>31</xdr:row>
      <xdr:rowOff>109021</xdr:rowOff>
    </xdr:from>
    <xdr:to>
      <xdr:col>24</xdr:col>
      <xdr:colOff>504940</xdr:colOff>
      <xdr:row>43</xdr:row>
      <xdr:rowOff>99217</xdr:rowOff>
    </xdr:to>
    <xdr:graphicFrame macro="">
      <xdr:nvGraphicFramePr>
        <xdr:cNvPr id="20" name="Chart 19">
          <a:extLst>
            <a:ext uri="{FF2B5EF4-FFF2-40B4-BE49-F238E27FC236}">
              <a16:creationId xmlns:a16="http://schemas.microsoft.com/office/drawing/2014/main" id="{5D730C64-4BA7-4A06-B0F7-EC8362CAC3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33420</xdr:colOff>
      <xdr:row>15</xdr:row>
      <xdr:rowOff>133684</xdr:rowOff>
    </xdr:from>
    <xdr:to>
      <xdr:col>4</xdr:col>
      <xdr:colOff>217236</xdr:colOff>
      <xdr:row>22</xdr:row>
      <xdr:rowOff>50132</xdr:rowOff>
    </xdr:to>
    <mc:AlternateContent xmlns:mc="http://schemas.openxmlformats.org/markup-compatibility/2006" xmlns:a14="http://schemas.microsoft.com/office/drawing/2010/main">
      <mc:Choice Requires="a14">
        <xdr:graphicFrame macro="">
          <xdr:nvGraphicFramePr>
            <xdr:cNvPr id="21" name="Product type 1">
              <a:extLst>
                <a:ext uri="{FF2B5EF4-FFF2-40B4-BE49-F238E27FC236}">
                  <a16:creationId xmlns:a16="http://schemas.microsoft.com/office/drawing/2014/main" id="{0C4DF403-1F0A-4EFE-B3F3-0120FE34F63E}"/>
                </a:ext>
              </a:extLst>
            </xdr:cNvPr>
            <xdr:cNvGraphicFramePr/>
          </xdr:nvGraphicFramePr>
          <xdr:xfrm>
            <a:off x="0" y="0"/>
            <a:ext cx="0" cy="0"/>
          </xdr:xfrm>
          <a:graphic>
            <a:graphicData uri="http://schemas.microsoft.com/office/drawing/2010/slicer">
              <sle:slicer xmlns:sle="http://schemas.microsoft.com/office/drawing/2010/slicer" name="Product type 1"/>
            </a:graphicData>
          </a:graphic>
        </xdr:graphicFrame>
      </mc:Choice>
      <mc:Fallback xmlns="">
        <xdr:sp macro="" textlink="">
          <xdr:nvSpPr>
            <xdr:cNvPr id="0" name=""/>
            <xdr:cNvSpPr>
              <a:spLocks noTextEdit="1"/>
            </xdr:cNvSpPr>
          </xdr:nvSpPr>
          <xdr:spPr>
            <a:xfrm>
              <a:off x="643020" y="2991184"/>
              <a:ext cx="2012616" cy="124994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33420</xdr:colOff>
      <xdr:row>22</xdr:row>
      <xdr:rowOff>66842</xdr:rowOff>
    </xdr:from>
    <xdr:to>
      <xdr:col>4</xdr:col>
      <xdr:colOff>233946</xdr:colOff>
      <xdr:row>30</xdr:row>
      <xdr:rowOff>83552</xdr:rowOff>
    </xdr:to>
    <mc:AlternateContent xmlns:mc="http://schemas.openxmlformats.org/markup-compatibility/2006" xmlns:a14="http://schemas.microsoft.com/office/drawing/2010/main">
      <mc:Choice Requires="a14">
        <xdr:graphicFrame macro="">
          <xdr:nvGraphicFramePr>
            <xdr:cNvPr id="22" name="Customer demographics 1">
              <a:extLst>
                <a:ext uri="{FF2B5EF4-FFF2-40B4-BE49-F238E27FC236}">
                  <a16:creationId xmlns:a16="http://schemas.microsoft.com/office/drawing/2014/main" id="{62CF5FBB-B6F2-468B-AE84-C07F106B1665}"/>
                </a:ext>
              </a:extLst>
            </xdr:cNvPr>
            <xdr:cNvGraphicFramePr/>
          </xdr:nvGraphicFramePr>
          <xdr:xfrm>
            <a:off x="0" y="0"/>
            <a:ext cx="0" cy="0"/>
          </xdr:xfrm>
          <a:graphic>
            <a:graphicData uri="http://schemas.microsoft.com/office/drawing/2010/slicer">
              <sle:slicer xmlns:sle="http://schemas.microsoft.com/office/drawing/2010/slicer" name="Customer demographics 1"/>
            </a:graphicData>
          </a:graphic>
        </xdr:graphicFrame>
      </mc:Choice>
      <mc:Fallback xmlns="">
        <xdr:sp macro="" textlink="">
          <xdr:nvSpPr>
            <xdr:cNvPr id="0" name=""/>
            <xdr:cNvSpPr>
              <a:spLocks noTextEdit="1"/>
            </xdr:cNvSpPr>
          </xdr:nvSpPr>
          <xdr:spPr>
            <a:xfrm>
              <a:off x="643020" y="4257842"/>
              <a:ext cx="2029326" cy="15407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16710</xdr:colOff>
      <xdr:row>6</xdr:row>
      <xdr:rowOff>66843</xdr:rowOff>
    </xdr:from>
    <xdr:to>
      <xdr:col>4</xdr:col>
      <xdr:colOff>233947</xdr:colOff>
      <xdr:row>15</xdr:row>
      <xdr:rowOff>150395</xdr:rowOff>
    </xdr:to>
    <mc:AlternateContent xmlns:mc="http://schemas.openxmlformats.org/markup-compatibility/2006" xmlns:a14="http://schemas.microsoft.com/office/drawing/2010/main">
      <mc:Choice Requires="a14">
        <xdr:graphicFrame macro="">
          <xdr:nvGraphicFramePr>
            <xdr:cNvPr id="23" name="Location 1">
              <a:extLst>
                <a:ext uri="{FF2B5EF4-FFF2-40B4-BE49-F238E27FC236}">
                  <a16:creationId xmlns:a16="http://schemas.microsoft.com/office/drawing/2014/main" id="{DF47BBCE-7E08-416A-AD6D-556E6ECD6823}"/>
                </a:ext>
              </a:extLst>
            </xdr:cNvPr>
            <xdr:cNvGraphicFramePr/>
          </xdr:nvGraphicFramePr>
          <xdr:xfrm>
            <a:off x="0" y="0"/>
            <a:ext cx="0" cy="0"/>
          </xdr:xfrm>
          <a:graphic>
            <a:graphicData uri="http://schemas.microsoft.com/office/drawing/2010/slicer">
              <sle:slicer xmlns:sle="http://schemas.microsoft.com/office/drawing/2010/slicer" name="Location 1"/>
            </a:graphicData>
          </a:graphic>
        </xdr:graphicFrame>
      </mc:Choice>
      <mc:Fallback xmlns="">
        <xdr:sp macro="" textlink="">
          <xdr:nvSpPr>
            <xdr:cNvPr id="0" name=""/>
            <xdr:cNvSpPr>
              <a:spLocks noTextEdit="1"/>
            </xdr:cNvSpPr>
          </xdr:nvSpPr>
          <xdr:spPr>
            <a:xfrm>
              <a:off x="626310" y="1209843"/>
              <a:ext cx="2046037" cy="1798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33420</xdr:colOff>
      <xdr:row>30</xdr:row>
      <xdr:rowOff>50131</xdr:rowOff>
    </xdr:from>
    <xdr:to>
      <xdr:col>4</xdr:col>
      <xdr:colOff>217236</xdr:colOff>
      <xdr:row>46</xdr:row>
      <xdr:rowOff>16711</xdr:rowOff>
    </xdr:to>
    <mc:AlternateContent xmlns:mc="http://schemas.openxmlformats.org/markup-compatibility/2006" xmlns:a14="http://schemas.microsoft.com/office/drawing/2010/main">
      <mc:Choice Requires="a14">
        <xdr:graphicFrame macro="">
          <xdr:nvGraphicFramePr>
            <xdr:cNvPr id="24" name="Inspection results 1">
              <a:extLst>
                <a:ext uri="{FF2B5EF4-FFF2-40B4-BE49-F238E27FC236}">
                  <a16:creationId xmlns:a16="http://schemas.microsoft.com/office/drawing/2014/main" id="{55D13821-C239-422D-88E0-00C41AB5C7E8}"/>
                </a:ext>
              </a:extLst>
            </xdr:cNvPr>
            <xdr:cNvGraphicFramePr/>
          </xdr:nvGraphicFramePr>
          <xdr:xfrm>
            <a:off x="0" y="0"/>
            <a:ext cx="0" cy="0"/>
          </xdr:xfrm>
          <a:graphic>
            <a:graphicData uri="http://schemas.microsoft.com/office/drawing/2010/slicer">
              <sle:slicer xmlns:sle="http://schemas.microsoft.com/office/drawing/2010/slicer" name="Inspection results 1"/>
            </a:graphicData>
          </a:graphic>
        </xdr:graphicFrame>
      </mc:Choice>
      <mc:Fallback xmlns="">
        <xdr:sp macro="" textlink="">
          <xdr:nvSpPr>
            <xdr:cNvPr id="0" name=""/>
            <xdr:cNvSpPr>
              <a:spLocks noTextEdit="1"/>
            </xdr:cNvSpPr>
          </xdr:nvSpPr>
          <xdr:spPr>
            <a:xfrm>
              <a:off x="643020" y="5765131"/>
              <a:ext cx="2012616" cy="30145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578303</xdr:colOff>
      <xdr:row>8</xdr:row>
      <xdr:rowOff>36739</xdr:rowOff>
    </xdr:from>
    <xdr:to>
      <xdr:col>7</xdr:col>
      <xdr:colOff>1653267</xdr:colOff>
      <xdr:row>22</xdr:row>
      <xdr:rowOff>112939</xdr:rowOff>
    </xdr:to>
    <xdr:graphicFrame macro="">
      <xdr:nvGraphicFramePr>
        <xdr:cNvPr id="2" name="Chart 1">
          <a:extLst>
            <a:ext uri="{FF2B5EF4-FFF2-40B4-BE49-F238E27FC236}">
              <a16:creationId xmlns:a16="http://schemas.microsoft.com/office/drawing/2014/main" id="{D2CDE4F8-2B80-C643-6D57-E932CFB60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571500</xdr:colOff>
      <xdr:row>7</xdr:row>
      <xdr:rowOff>181388</xdr:rowOff>
    </xdr:from>
    <xdr:to>
      <xdr:col>13</xdr:col>
      <xdr:colOff>242956</xdr:colOff>
      <xdr:row>22</xdr:row>
      <xdr:rowOff>25675</xdr:rowOff>
    </xdr:to>
    <xdr:graphicFrame macro="">
      <xdr:nvGraphicFramePr>
        <xdr:cNvPr id="3" name="Chart 2">
          <a:extLst>
            <a:ext uri="{FF2B5EF4-FFF2-40B4-BE49-F238E27FC236}">
              <a16:creationId xmlns:a16="http://schemas.microsoft.com/office/drawing/2014/main" id="{0432C63D-9DC0-B003-7B4E-C36A7CB84B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109053</xdr:colOff>
      <xdr:row>8</xdr:row>
      <xdr:rowOff>57149</xdr:rowOff>
    </xdr:from>
    <xdr:to>
      <xdr:col>17</xdr:col>
      <xdr:colOff>788227</xdr:colOff>
      <xdr:row>22</xdr:row>
      <xdr:rowOff>94697</xdr:rowOff>
    </xdr:to>
    <xdr:graphicFrame macro="">
      <xdr:nvGraphicFramePr>
        <xdr:cNvPr id="4" name="Chart 3">
          <a:extLst>
            <a:ext uri="{FF2B5EF4-FFF2-40B4-BE49-F238E27FC236}">
              <a16:creationId xmlns:a16="http://schemas.microsoft.com/office/drawing/2014/main" id="{59237F0D-91FE-6FD8-D024-97B70BC2B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5952</xdr:colOff>
      <xdr:row>22</xdr:row>
      <xdr:rowOff>191096</xdr:rowOff>
    </xdr:from>
    <xdr:to>
      <xdr:col>23</xdr:col>
      <xdr:colOff>127991</xdr:colOff>
      <xdr:row>37</xdr:row>
      <xdr:rowOff>32147</xdr:rowOff>
    </xdr:to>
    <xdr:graphicFrame macro="">
      <xdr:nvGraphicFramePr>
        <xdr:cNvPr id="5" name="Chart 4">
          <a:extLst>
            <a:ext uri="{FF2B5EF4-FFF2-40B4-BE49-F238E27FC236}">
              <a16:creationId xmlns:a16="http://schemas.microsoft.com/office/drawing/2014/main" id="{B143237F-9DD5-722C-1382-8D6BC0D35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16074</xdr:colOff>
      <xdr:row>22</xdr:row>
      <xdr:rowOff>145257</xdr:rowOff>
    </xdr:from>
    <xdr:to>
      <xdr:col>6</xdr:col>
      <xdr:colOff>609600</xdr:colOff>
      <xdr:row>35</xdr:row>
      <xdr:rowOff>154186</xdr:rowOff>
    </xdr:to>
    <mc:AlternateContent xmlns:mc="http://schemas.openxmlformats.org/markup-compatibility/2006" xmlns:a14="http://schemas.microsoft.com/office/drawing/2010/main">
      <mc:Choice Requires="a14">
        <xdr:graphicFrame macro="">
          <xdr:nvGraphicFramePr>
            <xdr:cNvPr id="6" name="Product type">
              <a:extLst>
                <a:ext uri="{FF2B5EF4-FFF2-40B4-BE49-F238E27FC236}">
                  <a16:creationId xmlns:a16="http://schemas.microsoft.com/office/drawing/2014/main" id="{28473BBC-E19A-0C9D-EB66-3EAE259ED41A}"/>
                </a:ext>
              </a:extLst>
            </xdr:cNvPr>
            <xdr:cNvGraphicFramePr/>
          </xdr:nvGraphicFramePr>
          <xdr:xfrm>
            <a:off x="0" y="0"/>
            <a:ext cx="0" cy="0"/>
          </xdr:xfrm>
          <a:graphic>
            <a:graphicData uri="http://schemas.microsoft.com/office/drawing/2010/slicer">
              <sle:slicer xmlns:sle="http://schemas.microsoft.com/office/drawing/2010/slicer" name="Product type"/>
            </a:graphicData>
          </a:graphic>
        </xdr:graphicFrame>
      </mc:Choice>
      <mc:Fallback xmlns="">
        <xdr:sp macro="" textlink="">
          <xdr:nvSpPr>
            <xdr:cNvPr id="0" name=""/>
            <xdr:cNvSpPr>
              <a:spLocks noTextEdit="1"/>
            </xdr:cNvSpPr>
          </xdr:nvSpPr>
          <xdr:spPr>
            <a:xfrm>
              <a:off x="10478691" y="4401741"/>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626269</xdr:colOff>
      <xdr:row>22</xdr:row>
      <xdr:rowOff>130374</xdr:rowOff>
    </xdr:from>
    <xdr:to>
      <xdr:col>6</xdr:col>
      <xdr:colOff>2455069</xdr:colOff>
      <xdr:row>35</xdr:row>
      <xdr:rowOff>139303</xdr:rowOff>
    </xdr:to>
    <mc:AlternateContent xmlns:mc="http://schemas.openxmlformats.org/markup-compatibility/2006" xmlns:a14="http://schemas.microsoft.com/office/drawing/2010/main">
      <mc:Choice Requires="a14">
        <xdr:graphicFrame macro="">
          <xdr:nvGraphicFramePr>
            <xdr:cNvPr id="7" name="Customer demographics">
              <a:extLst>
                <a:ext uri="{FF2B5EF4-FFF2-40B4-BE49-F238E27FC236}">
                  <a16:creationId xmlns:a16="http://schemas.microsoft.com/office/drawing/2014/main" id="{E70A7A71-BB07-189D-BE26-3954DEE173DB}"/>
                </a:ext>
              </a:extLst>
            </xdr:cNvPr>
            <xdr:cNvGraphicFramePr/>
          </xdr:nvGraphicFramePr>
          <xdr:xfrm>
            <a:off x="0" y="0"/>
            <a:ext cx="0" cy="0"/>
          </xdr:xfrm>
          <a:graphic>
            <a:graphicData uri="http://schemas.microsoft.com/office/drawing/2010/slicer">
              <sle:slicer xmlns:sle="http://schemas.microsoft.com/office/drawing/2010/slicer" name="Customer demographics"/>
            </a:graphicData>
          </a:graphic>
        </xdr:graphicFrame>
      </mc:Choice>
      <mc:Fallback xmlns="">
        <xdr:sp macro="" textlink="">
          <xdr:nvSpPr>
            <xdr:cNvPr id="0" name=""/>
            <xdr:cNvSpPr>
              <a:spLocks noTextEdit="1"/>
            </xdr:cNvSpPr>
          </xdr:nvSpPr>
          <xdr:spPr>
            <a:xfrm>
              <a:off x="12324160" y="438685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2486620</xdr:colOff>
      <xdr:row>23</xdr:row>
      <xdr:rowOff>29765</xdr:rowOff>
    </xdr:from>
    <xdr:to>
      <xdr:col>7</xdr:col>
      <xdr:colOff>1636514</xdr:colOff>
      <xdr:row>33</xdr:row>
      <xdr:rowOff>139302</xdr:rowOff>
    </xdr:to>
    <mc:AlternateContent xmlns:mc="http://schemas.openxmlformats.org/markup-compatibility/2006" xmlns:a14="http://schemas.microsoft.com/office/drawing/2010/main">
      <mc:Choice Requires="a14">
        <xdr:graphicFrame macro="">
          <xdr:nvGraphicFramePr>
            <xdr:cNvPr id="8" name="Location">
              <a:extLst>
                <a:ext uri="{FF2B5EF4-FFF2-40B4-BE49-F238E27FC236}">
                  <a16:creationId xmlns:a16="http://schemas.microsoft.com/office/drawing/2014/main" id="{7B275F55-3F4C-69F2-4D27-0167AF48E824}"/>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4184511" y="4479726"/>
              <a:ext cx="1828800" cy="20443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1727597</xdr:colOff>
      <xdr:row>22</xdr:row>
      <xdr:rowOff>160140</xdr:rowOff>
    </xdr:from>
    <xdr:to>
      <xdr:col>10</xdr:col>
      <xdr:colOff>103585</xdr:colOff>
      <xdr:row>35</xdr:row>
      <xdr:rowOff>169069</xdr:rowOff>
    </xdr:to>
    <mc:AlternateContent xmlns:mc="http://schemas.openxmlformats.org/markup-compatibility/2006" xmlns:a14="http://schemas.microsoft.com/office/drawing/2010/main">
      <mc:Choice Requires="a14">
        <xdr:graphicFrame macro="">
          <xdr:nvGraphicFramePr>
            <xdr:cNvPr id="9" name="Inspection results">
              <a:extLst>
                <a:ext uri="{FF2B5EF4-FFF2-40B4-BE49-F238E27FC236}">
                  <a16:creationId xmlns:a16="http://schemas.microsoft.com/office/drawing/2014/main" id="{1F47A113-CC9B-9178-347D-3598E8150B59}"/>
                </a:ext>
              </a:extLst>
            </xdr:cNvPr>
            <xdr:cNvGraphicFramePr/>
          </xdr:nvGraphicFramePr>
          <xdr:xfrm>
            <a:off x="0" y="0"/>
            <a:ext cx="0" cy="0"/>
          </xdr:xfrm>
          <a:graphic>
            <a:graphicData uri="http://schemas.microsoft.com/office/drawing/2010/slicer">
              <sle:slicer xmlns:sle="http://schemas.microsoft.com/office/drawing/2010/slicer" name="Inspection results"/>
            </a:graphicData>
          </a:graphic>
        </xdr:graphicFrame>
      </mc:Choice>
      <mc:Fallback xmlns="">
        <xdr:sp macro="" textlink="">
          <xdr:nvSpPr>
            <xdr:cNvPr id="0" name=""/>
            <xdr:cNvSpPr>
              <a:spLocks noTextEdit="1"/>
            </xdr:cNvSpPr>
          </xdr:nvSpPr>
          <xdr:spPr>
            <a:xfrm>
              <a:off x="16104394" y="4416624"/>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it Meha" refreshedDate="46273.821014699075" createdVersion="8" refreshedVersion="8" minRefreshableVersion="3" recordCount="100" xr:uid="{DEA78391-D6AE-4128-A353-A5F9C4E6E4AE}">
  <cacheSource type="worksheet">
    <worksheetSource name="tbl_SupplyChaim"/>
  </cacheSource>
  <cacheFields count="29">
    <cacheField name="Product type" numFmtId="0">
      <sharedItems count="3">
        <s v="haircare"/>
        <s v="skincare"/>
        <s v="cosmetics"/>
      </sharedItems>
    </cacheField>
    <cacheField name="SKU" numFmtId="0">
      <sharedItems/>
    </cacheField>
    <cacheField name="Price" numFmtId="0">
      <sharedItems containsSemiMixedTypes="0" containsString="0" containsNumber="1" minValue="1.6999760138659299" maxValue="99.171328638624104"/>
    </cacheField>
    <cacheField name="Availability" numFmtId="0">
      <sharedItems containsSemiMixedTypes="0" containsString="0" containsNumber="1" containsInteger="1" minValue="1" maxValue="100"/>
    </cacheField>
    <cacheField name="Number of products sold" numFmtId="0">
      <sharedItems containsSemiMixedTypes="0" containsString="0" containsNumber="1" containsInteger="1" minValue="8" maxValue="996" count="96">
        <n v="802"/>
        <n v="736"/>
        <n v="8"/>
        <n v="83"/>
        <n v="871"/>
        <n v="147"/>
        <n v="65"/>
        <n v="426"/>
        <n v="150"/>
        <n v="980"/>
        <n v="996"/>
        <n v="960"/>
        <n v="336"/>
        <n v="249"/>
        <n v="562"/>
        <n v="469"/>
        <n v="280"/>
        <n v="126"/>
        <n v="620"/>
        <n v="187"/>
        <n v="320"/>
        <n v="601"/>
        <n v="884"/>
        <n v="391"/>
        <n v="209"/>
        <n v="142"/>
        <n v="353"/>
        <n v="352"/>
        <n v="394"/>
        <n v="253"/>
        <n v="327"/>
        <n v="168"/>
        <n v="781"/>
        <n v="616"/>
        <n v="602"/>
        <n v="449"/>
        <n v="963"/>
        <n v="705"/>
        <n v="176"/>
        <n v="933"/>
        <n v="556"/>
        <n v="155"/>
        <n v="598"/>
        <n v="919"/>
        <n v="24"/>
        <n v="859"/>
        <n v="910"/>
        <n v="29"/>
        <n v="99"/>
        <n v="633"/>
        <n v="154"/>
        <n v="820"/>
        <n v="242"/>
        <n v="622"/>
        <n v="701"/>
        <n v="93"/>
        <n v="227"/>
        <n v="896"/>
        <n v="484"/>
        <n v="380"/>
        <n v="117"/>
        <n v="270"/>
        <n v="246"/>
        <n v="134"/>
        <n v="457"/>
        <n v="704"/>
        <n v="513"/>
        <n v="163"/>
        <n v="511"/>
        <n v="32"/>
        <n v="637"/>
        <n v="478"/>
        <n v="375"/>
        <n v="904"/>
        <n v="106"/>
        <n v="241"/>
        <n v="359"/>
        <n v="946"/>
        <n v="198"/>
        <n v="872"/>
        <n v="774"/>
        <n v="663"/>
        <n v="618"/>
        <n v="25"/>
        <n v="223"/>
        <n v="79"/>
        <n v="737"/>
        <n v="916"/>
        <n v="276"/>
        <n v="114"/>
        <n v="987"/>
        <n v="672"/>
        <n v="324"/>
        <n v="62"/>
        <n v="913"/>
        <n v="627"/>
      </sharedItems>
    </cacheField>
    <cacheField name="Revenue Generated" numFmtId="0">
      <sharedItems containsSemiMixedTypes="0" containsString="0" containsNumber="1" minValue="1061.6185230132801" maxValue="9866.4654579796897"/>
    </cacheField>
    <cacheField name="Customer demographics" numFmtId="0">
      <sharedItems count="4">
        <s v="Non-binary"/>
        <s v="Female"/>
        <s v="Unknown"/>
        <s v="Male"/>
      </sharedItems>
    </cacheField>
    <cacheField name="Stock levels" numFmtId="0">
      <sharedItems containsSemiMixedTypes="0" containsString="0" containsNumber="1" containsInteger="1" minValue="0" maxValue="100"/>
    </cacheField>
    <cacheField name="Lead times" numFmtId="0">
      <sharedItems containsSemiMixedTypes="0" containsString="0" containsNumber="1" containsInteger="1" minValue="1" maxValue="30"/>
    </cacheField>
    <cacheField name="Order quantities" numFmtId="0">
      <sharedItems containsSemiMixedTypes="0" containsString="0" containsNumber="1" containsInteger="1" minValue="1" maxValue="96"/>
    </cacheField>
    <cacheField name="Shipping times" numFmtId="0">
      <sharedItems containsSemiMixedTypes="0" containsString="0" containsNumber="1" containsInteger="1" minValue="1" maxValue="10"/>
    </cacheField>
    <cacheField name="Shipping carriers" numFmtId="0">
      <sharedItems/>
    </cacheField>
    <cacheField name="Shipping costs" numFmtId="164">
      <sharedItems containsSemiMixedTypes="0" containsString="0" containsNumber="1" minValue="1.0134865660958901" maxValue="9.9298162452772498"/>
    </cacheField>
    <cacheField name="Supplier name" numFmtId="0">
      <sharedItems count="5">
        <s v="Supplier 3"/>
        <s v="Supplier 1"/>
        <s v="Supplier 5"/>
        <s v="Supplier 4"/>
        <s v="Supplier 2"/>
      </sharedItems>
    </cacheField>
    <cacheField name="Location" numFmtId="0">
      <sharedItems count="5">
        <s v="Mumbai"/>
        <s v="Kolkata"/>
        <s v="Delhi"/>
        <s v="Bangalore"/>
        <s v="Chennai"/>
      </sharedItems>
    </cacheField>
    <cacheField name="Order Lead Time" numFmtId="0">
      <sharedItems containsSemiMixedTypes="0" containsString="0" containsNumber="1" containsInteger="1" minValue="1" maxValue="30"/>
    </cacheField>
    <cacheField name="Production volumes" numFmtId="0">
      <sharedItems containsSemiMixedTypes="0" containsString="0" containsNumber="1" containsInteger="1" minValue="104" maxValue="985"/>
    </cacheField>
    <cacheField name="Manufactuing Lead Time" numFmtId="0">
      <sharedItems containsSemiMixedTypes="0" containsString="0" containsNumber="1" containsInteger="1" minValue="1" maxValue="30"/>
    </cacheField>
    <cacheField name="Manufacturing costs" numFmtId="164">
      <sharedItems containsSemiMixedTypes="0" containsString="0" containsNumber="1" minValue="1.0850685695870601" maxValue="99.466108603599096"/>
    </cacheField>
    <cacheField name="Inspection results" numFmtId="0">
      <sharedItems count="3">
        <s v="Pending"/>
        <s v="Fail"/>
        <s v="Pass"/>
      </sharedItems>
    </cacheField>
    <cacheField name="Defect rates" numFmtId="0">
      <sharedItems containsSemiMixedTypes="0" containsString="0" containsNumber="1" minValue="1.8607567631014899E-2" maxValue="4.9392552886209398"/>
    </cacheField>
    <cacheField name="Transportation modes" numFmtId="0">
      <sharedItems count="4">
        <s v="Road"/>
        <s v="Air"/>
        <s v="Rail"/>
        <s v="Sea"/>
      </sharedItems>
    </cacheField>
    <cacheField name="Routes" numFmtId="0">
      <sharedItems count="3">
        <s v="Route B"/>
        <s v="Route C"/>
        <s v="Route A"/>
      </sharedItems>
    </cacheField>
    <cacheField name="Costs" numFmtId="164">
      <sharedItems containsSemiMixedTypes="0" containsString="0" containsNumber="1" minValue="103.916247960704" maxValue="997.41345013319403"/>
    </cacheField>
    <cacheField name="Total_Cost" numFmtId="164">
      <sharedItems containsSemiMixedTypes="0" containsString="0" containsNumber="1" minValue="139.33492873357008" maxValue="1083.4288665497215"/>
    </cacheField>
    <cacheField name="Grpss_Profit" numFmtId="164">
      <sharedItems containsSemiMixedTypes="0" containsString="0" containsNumber="1" minValue="739.84976456279992" maxValue="9397.0868454871943"/>
    </cacheField>
    <cacheField name="Gross_Margin" numFmtId="10">
      <sharedItems containsSemiMixedTypes="0" containsString="0" containsNumber="1" minValue="0.46051103425228368" maxValue="0.982190151951844"/>
    </cacheField>
    <cacheField name="Total Lead Time" numFmtId="0">
      <sharedItems containsSemiMixedTypes="0" containsString="0" containsNumber="1" containsInteger="1" minValue="-2" maxValue="58"/>
    </cacheField>
    <cacheField name="Cycle_Risk_Tier" numFmtId="164">
      <sharedItems/>
    </cacheField>
  </cacheFields>
  <extLst>
    <ext xmlns:x14="http://schemas.microsoft.com/office/spreadsheetml/2009/9/main" uri="{725AE2AE-9491-48be-B2B4-4EB974FC3084}">
      <x14:pivotCacheDefinition pivotCacheId="2257302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mit Meha" refreshedDate="46274.504535416665" backgroundQuery="1" createdVersion="8" refreshedVersion="8" minRefreshableVersion="3" recordCount="0" supportSubquery="1" supportAdvancedDrill="1" xr:uid="{C0BEB685-1463-4C41-B22E-69A857502B0C}">
  <cacheSource type="external" connectionId="1"/>
  <cacheFields count="5">
    <cacheField name="[Measures].[Average of Defect rates]" caption="Average of Defect rates" numFmtId="0" hierarchy="32" level="32767"/>
    <cacheField name="[Measures].[Average of Manufacturing costs]" caption="Average of Manufacturing costs" numFmtId="0" hierarchy="33" level="32767"/>
    <cacheField name="[Measures].[Count of SKU]" caption="Count of SKU" numFmtId="0" hierarchy="34" level="32767"/>
    <cacheField name="[tbl_SupplyChaim].[Supplier name].[Supplier name]" caption="Supplier name" numFmtId="0" hierarchy="13" level="1">
      <sharedItems count="5">
        <s v="Supplier 1"/>
        <s v="Supplier 2"/>
        <s v="Supplier 3"/>
        <s v="Supplier 4"/>
        <s v="Supplier 5"/>
      </sharedItems>
    </cacheField>
    <cacheField name="[Measures].[Sum of Benchmark]" caption="Sum of Benchmark" numFmtId="0" hierarchy="35" level="32767"/>
  </cacheFields>
  <cacheHierarchies count="36">
    <cacheHierarchy uniqueName="[tbl_SupplyChaim].[Product type]" caption="Product type" attribute="1" defaultMemberUniqueName="[tbl_SupplyChaim].[Product type].[All]" allUniqueName="[tbl_SupplyChaim].[Product type].[All]" dimensionUniqueName="[tbl_SupplyChaim]" displayFolder="" count="0" memberValueDatatype="130" unbalanced="0"/>
    <cacheHierarchy uniqueName="[tbl_SupplyChaim].[SKU]" caption="SKU" attribute="1" defaultMemberUniqueName="[tbl_SupplyChaim].[SKU].[All]" allUniqueName="[tbl_SupplyChaim].[SKU].[All]" dimensionUniqueName="[tbl_SupplyChaim]" displayFolder="" count="0" memberValueDatatype="130" unbalanced="0"/>
    <cacheHierarchy uniqueName="[tbl_SupplyChaim].[Price]" caption="Price" attribute="1" defaultMemberUniqueName="[tbl_SupplyChaim].[Price].[All]" allUniqueName="[tbl_SupplyChaim].[Price].[All]" dimensionUniqueName="[tbl_SupplyChaim]" displayFolder="" count="0" memberValueDatatype="5" unbalanced="0"/>
    <cacheHierarchy uniqueName="[tbl_SupplyChaim].[Availability]" caption="Availability" attribute="1" defaultMemberUniqueName="[tbl_SupplyChaim].[Availability].[All]" allUniqueName="[tbl_SupplyChaim].[Availability].[All]" dimensionUniqueName="[tbl_SupplyChaim]" displayFolder="" count="0" memberValueDatatype="20" unbalanced="0"/>
    <cacheHierarchy uniqueName="[tbl_SupplyChaim].[Number of products sold]" caption="Number of products sold" attribute="1" defaultMemberUniqueName="[tbl_SupplyChaim].[Number of products sold].[All]" allUniqueName="[tbl_SupplyChaim].[Number of products sold].[All]" dimensionUniqueName="[tbl_SupplyChaim]" displayFolder="" count="0" memberValueDatatype="20" unbalanced="0"/>
    <cacheHierarchy uniqueName="[tbl_SupplyChaim].[Revenue Generated]" caption="Revenue Generated" attribute="1" defaultMemberUniqueName="[tbl_SupplyChaim].[Revenue Generated].[All]" allUniqueName="[tbl_SupplyChaim].[Revenue Generated].[All]" dimensionUniqueName="[tbl_SupplyChaim]" displayFolder="" count="0" memberValueDatatype="5" unbalanced="0"/>
    <cacheHierarchy uniqueName="[tbl_SupplyChaim].[Customer demographics]" caption="Customer demographics" attribute="1" defaultMemberUniqueName="[tbl_SupplyChaim].[Customer demographics].[All]" allUniqueName="[tbl_SupplyChaim].[Customer demographics].[All]" dimensionUniqueName="[tbl_SupplyChaim]" displayFolder="" count="0" memberValueDatatype="130" unbalanced="0"/>
    <cacheHierarchy uniqueName="[tbl_SupplyChaim].[Stock levels]" caption="Stock levels" attribute="1" defaultMemberUniqueName="[tbl_SupplyChaim].[Stock levels].[All]" allUniqueName="[tbl_SupplyChaim].[Stock levels].[All]" dimensionUniqueName="[tbl_SupplyChaim]" displayFolder="" count="0" memberValueDatatype="20" unbalanced="0"/>
    <cacheHierarchy uniqueName="[tbl_SupplyChaim].[Lead times]" caption="Lead times" attribute="1" defaultMemberUniqueName="[tbl_SupplyChaim].[Lead times].[All]" allUniqueName="[tbl_SupplyChaim].[Lead times].[All]" dimensionUniqueName="[tbl_SupplyChaim]" displayFolder="" count="0" memberValueDatatype="20" unbalanced="0"/>
    <cacheHierarchy uniqueName="[tbl_SupplyChaim].[Order quantities]" caption="Order quantities" attribute="1" defaultMemberUniqueName="[tbl_SupplyChaim].[Order quantities].[All]" allUniqueName="[tbl_SupplyChaim].[Order quantities].[All]" dimensionUniqueName="[tbl_SupplyChaim]" displayFolder="" count="0" memberValueDatatype="20" unbalanced="0"/>
    <cacheHierarchy uniqueName="[tbl_SupplyChaim].[Shipping times]" caption="Shipping times" attribute="1" defaultMemberUniqueName="[tbl_SupplyChaim].[Shipping times].[All]" allUniqueName="[tbl_SupplyChaim].[Shipping times].[All]" dimensionUniqueName="[tbl_SupplyChaim]" displayFolder="" count="0" memberValueDatatype="20" unbalanced="0"/>
    <cacheHierarchy uniqueName="[tbl_SupplyChaim].[Shipping carriers]" caption="Shipping carriers" attribute="1" defaultMemberUniqueName="[tbl_SupplyChaim].[Shipping carriers].[All]" allUniqueName="[tbl_SupplyChaim].[Shipping carriers].[All]" dimensionUniqueName="[tbl_SupplyChaim]" displayFolder="" count="0" memberValueDatatype="130" unbalanced="0"/>
    <cacheHierarchy uniqueName="[tbl_SupplyChaim].[Shipping costs]" caption="Shipping costs" attribute="1" defaultMemberUniqueName="[tbl_SupplyChaim].[Shipping costs].[All]" allUniqueName="[tbl_SupplyChaim].[Shipping costs].[All]" dimensionUniqueName="[tbl_SupplyChaim]" displayFolder="" count="0" memberValueDatatype="5" unbalanced="0"/>
    <cacheHierarchy uniqueName="[tbl_SupplyChaim].[Supplier name]" caption="Supplier name" attribute="1" defaultMemberUniqueName="[tbl_SupplyChaim].[Supplier name].[All]" allUniqueName="[tbl_SupplyChaim].[Supplier name].[All]" dimensionUniqueName="[tbl_SupplyChaim]" displayFolder="" count="2" memberValueDatatype="130" unbalanced="0">
      <fieldsUsage count="2">
        <fieldUsage x="-1"/>
        <fieldUsage x="3"/>
      </fieldsUsage>
    </cacheHierarchy>
    <cacheHierarchy uniqueName="[tbl_SupplyChaim].[Location]" caption="Location" attribute="1" defaultMemberUniqueName="[tbl_SupplyChaim].[Location].[All]" allUniqueName="[tbl_SupplyChaim].[Location].[All]" dimensionUniqueName="[tbl_SupplyChaim]" displayFolder="" count="0" memberValueDatatype="130" unbalanced="0"/>
    <cacheHierarchy uniqueName="[tbl_SupplyChaim].[Order Lead Time]" caption="Order Lead Time" attribute="1" defaultMemberUniqueName="[tbl_SupplyChaim].[Order Lead Time].[All]" allUniqueName="[tbl_SupplyChaim].[Order Lead Time].[All]" dimensionUniqueName="[tbl_SupplyChaim]" displayFolder="" count="0" memberValueDatatype="20" unbalanced="0"/>
    <cacheHierarchy uniqueName="[tbl_SupplyChaim].[Production volumes]" caption="Production volumes" attribute="1" defaultMemberUniqueName="[tbl_SupplyChaim].[Production volumes].[All]" allUniqueName="[tbl_SupplyChaim].[Production volumes].[All]" dimensionUniqueName="[tbl_SupplyChaim]" displayFolder="" count="0" memberValueDatatype="20" unbalanced="0"/>
    <cacheHierarchy uniqueName="[tbl_SupplyChaim].[Manufactuing Lead Time]" caption="Manufactuing Lead Time" attribute="1" defaultMemberUniqueName="[tbl_SupplyChaim].[Manufactuing Lead Time].[All]" allUniqueName="[tbl_SupplyChaim].[Manufactuing Lead Time].[All]" dimensionUniqueName="[tbl_SupplyChaim]" displayFolder="" count="0" memberValueDatatype="20" unbalanced="0"/>
    <cacheHierarchy uniqueName="[tbl_SupplyChaim].[Manufacturing costs]" caption="Manufacturing costs" attribute="1" defaultMemberUniqueName="[tbl_SupplyChaim].[Manufacturing costs].[All]" allUniqueName="[tbl_SupplyChaim].[Manufacturing costs].[All]" dimensionUniqueName="[tbl_SupplyChaim]" displayFolder="" count="0" memberValueDatatype="5" unbalanced="0"/>
    <cacheHierarchy uniqueName="[tbl_SupplyChaim].[Inspection results]" caption="Inspection results" attribute="1" defaultMemberUniqueName="[tbl_SupplyChaim].[Inspection results].[All]" allUniqueName="[tbl_SupplyChaim].[Inspection results].[All]" dimensionUniqueName="[tbl_SupplyChaim]" displayFolder="" count="0" memberValueDatatype="130" unbalanced="0"/>
    <cacheHierarchy uniqueName="[tbl_SupplyChaim].[Defect rates]" caption="Defect rates" attribute="1" defaultMemberUniqueName="[tbl_SupplyChaim].[Defect rates].[All]" allUniqueName="[tbl_SupplyChaim].[Defect rates].[All]" dimensionUniqueName="[tbl_SupplyChaim]" displayFolder="" count="0" memberValueDatatype="5" unbalanced="0"/>
    <cacheHierarchy uniqueName="[tbl_SupplyChaim].[Transportation modes]" caption="Transportation modes" attribute="1" defaultMemberUniqueName="[tbl_SupplyChaim].[Transportation modes].[All]" allUniqueName="[tbl_SupplyChaim].[Transportation modes].[All]" dimensionUniqueName="[tbl_SupplyChaim]" displayFolder="" count="0" memberValueDatatype="130" unbalanced="0"/>
    <cacheHierarchy uniqueName="[tbl_SupplyChaim].[Routes]" caption="Routes" attribute="1" defaultMemberUniqueName="[tbl_SupplyChaim].[Routes].[All]" allUniqueName="[tbl_SupplyChaim].[Routes].[All]" dimensionUniqueName="[tbl_SupplyChaim]" displayFolder="" count="0" memberValueDatatype="130" unbalanced="0"/>
    <cacheHierarchy uniqueName="[tbl_SupplyChaim].[Costs]" caption="Costs" attribute="1" defaultMemberUniqueName="[tbl_SupplyChaim].[Costs].[All]" allUniqueName="[tbl_SupplyChaim].[Costs].[All]" dimensionUniqueName="[tbl_SupplyChaim]" displayFolder="" count="0" memberValueDatatype="5" unbalanced="0"/>
    <cacheHierarchy uniqueName="[tbl_SupplyChaim].[Total_Cost]" caption="Total_Cost" attribute="1" defaultMemberUniqueName="[tbl_SupplyChaim].[Total_Cost].[All]" allUniqueName="[tbl_SupplyChaim].[Total_Cost].[All]" dimensionUniqueName="[tbl_SupplyChaim]" displayFolder="" count="0" memberValueDatatype="5" unbalanced="0"/>
    <cacheHierarchy uniqueName="[tbl_SupplyChaim].[Grpss_Profit]" caption="Grpss_Profit" attribute="1" defaultMemberUniqueName="[tbl_SupplyChaim].[Grpss_Profit].[All]" allUniqueName="[tbl_SupplyChaim].[Grpss_Profit].[All]" dimensionUniqueName="[tbl_SupplyChaim]" displayFolder="" count="0" memberValueDatatype="5" unbalanced="0"/>
    <cacheHierarchy uniqueName="[tbl_SupplyChaim].[Gross_Margin]" caption="Gross_Margin" attribute="1" defaultMemberUniqueName="[tbl_SupplyChaim].[Gross_Margin].[All]" allUniqueName="[tbl_SupplyChaim].[Gross_Margin].[All]" dimensionUniqueName="[tbl_SupplyChaim]" displayFolder="" count="0" memberValueDatatype="5" unbalanced="0"/>
    <cacheHierarchy uniqueName="[tbl_SupplyChaim].[Total Lead Time]" caption="Total Lead Time" attribute="1" defaultMemberUniqueName="[tbl_SupplyChaim].[Total Lead Time].[All]" allUniqueName="[tbl_SupplyChaim].[Total Lead Time].[All]" dimensionUniqueName="[tbl_SupplyChaim]" displayFolder="" count="0" memberValueDatatype="20" unbalanced="0"/>
    <cacheHierarchy uniqueName="[tbl_SupplyChaim].[Cycle_Risk_Tier]" caption="Cycle_Risk_Tier" attribute="1" defaultMemberUniqueName="[tbl_SupplyChaim].[Cycle_Risk_Tier].[All]" allUniqueName="[tbl_SupplyChaim].[Cycle_Risk_Tier].[All]" dimensionUniqueName="[tbl_SupplyChaim]" displayFolder="" count="0" memberValueDatatype="130" unbalanced="0"/>
    <cacheHierarchy uniqueName="[tbl_SupplyChaim].[Benchmark]" caption="Benchmark" attribute="1" defaultMemberUniqueName="[tbl_SupplyChaim].[Benchmark].[All]" allUniqueName="[tbl_SupplyChaim].[Benchmark].[All]" dimensionUniqueName="[tbl_SupplyChaim]" displayFolder="" count="0" memberValueDatatype="5" unbalanced="0"/>
    <cacheHierarchy uniqueName="[Measures].[__XL_Count tbl_SupplyChaim]" caption="__XL_Count tbl_SupplyChaim" measure="1" displayFolder="" measureGroup="tbl_SupplyChaim" count="0" hidden="1"/>
    <cacheHierarchy uniqueName="[Measures].[__No measures defined]" caption="__No measures defined" measure="1" displayFolder="" count="0" hidden="1"/>
    <cacheHierarchy uniqueName="[Measures].[Average of Defect rates]" caption="Average of Defect rates" measure="1" displayFolder="" measureGroup="tbl_SupplyChaim" count="0" oneField="1" hidden="1">
      <fieldsUsage count="1">
        <fieldUsage x="0"/>
      </fieldsUsage>
      <extLst>
        <ext xmlns:x15="http://schemas.microsoft.com/office/spreadsheetml/2010/11/main" uri="{B97F6D7D-B522-45F9-BDA1-12C45D357490}">
          <x15:cacheHierarchy aggregatedColumn="20"/>
        </ext>
      </extLst>
    </cacheHierarchy>
    <cacheHierarchy uniqueName="[Measures].[Average of Manufacturing costs]" caption="Average of Manufacturing costs" measure="1" displayFolder="" measureGroup="tbl_SupplyChaim" count="0" oneField="1" hidden="1">
      <fieldsUsage count="1">
        <fieldUsage x="1"/>
      </fieldsUsage>
      <extLst>
        <ext xmlns:x15="http://schemas.microsoft.com/office/spreadsheetml/2010/11/main" uri="{B97F6D7D-B522-45F9-BDA1-12C45D357490}">
          <x15:cacheHierarchy aggregatedColumn="18"/>
        </ext>
      </extLst>
    </cacheHierarchy>
    <cacheHierarchy uniqueName="[Measures].[Count of SKU]" caption="Count of SKU" measure="1" displayFolder="" measureGroup="tbl_SupplyChaim"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Benchmark]" caption="Sum of Benchmark" measure="1" displayFolder="" measureGroup="tbl_SupplyChaim" count="0" oneField="1" hidden="1">
      <fieldsUsage count="1">
        <fieldUsage x="4"/>
      </fieldsUsage>
      <extLst>
        <ext xmlns:x15="http://schemas.microsoft.com/office/spreadsheetml/2010/11/main" uri="{B97F6D7D-B522-45F9-BDA1-12C45D357490}">
          <x15:cacheHierarchy aggregatedColumn="29"/>
        </ext>
      </extLst>
    </cacheHierarchy>
  </cacheHierarchies>
  <kpis count="0"/>
  <dimensions count="2">
    <dimension measure="1" name="Measures" uniqueName="[Measures]" caption="Measures"/>
    <dimension name="tbl_SupplyChaim" uniqueName="[tbl_SupplyChaim]" caption="tbl_SupplyChaim"/>
  </dimensions>
  <measureGroups count="1">
    <measureGroup name="tbl_SupplyChaim" caption="tbl_SupplyChaim"/>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s v="SKU0"/>
    <n v="69.808005542115694"/>
    <n v="55"/>
    <x v="0"/>
    <n v="8661.9967923923796"/>
    <x v="0"/>
    <n v="58"/>
    <n v="7"/>
    <n v="96"/>
    <n v="4"/>
    <s v="Carrier B"/>
    <n v="2.9565721394308002"/>
    <x v="0"/>
    <x v="0"/>
    <n v="29"/>
    <n v="215"/>
    <n v="29"/>
    <n v="46.279879240508301"/>
    <x v="0"/>
    <n v="0.226410360849925"/>
    <x v="0"/>
    <x v="0"/>
    <n v="187.75207545920301"/>
    <n v="236.98852683914211"/>
    <n v="8425.0082655532369"/>
    <n v="0.97264042777673576"/>
    <n v="32"/>
    <s v="MEDIUM"/>
  </r>
  <r>
    <x v="1"/>
    <s v="SKU1"/>
    <n v="14.8435232750843"/>
    <n v="95"/>
    <x v="1"/>
    <n v="7460.9000654458396"/>
    <x v="1"/>
    <n v="53"/>
    <n v="30"/>
    <n v="37"/>
    <n v="2"/>
    <s v="Carrier A"/>
    <n v="9.7165747714313095"/>
    <x v="0"/>
    <x v="0"/>
    <n v="23"/>
    <n v="517"/>
    <n v="30"/>
    <n v="33.616768953730002"/>
    <x v="0"/>
    <n v="4.8540680263886999"/>
    <x v="0"/>
    <x v="0"/>
    <n v="503.06557914966902"/>
    <n v="546.3989228748303"/>
    <n v="6914.501142571009"/>
    <n v="0.92676501252102217"/>
    <n v="58"/>
    <s v="HIGH RISK TIME"/>
  </r>
  <r>
    <x v="0"/>
    <s v="SKU2"/>
    <n v="11.319683293090501"/>
    <n v="34"/>
    <x v="2"/>
    <n v="9577.7496258687297"/>
    <x v="2"/>
    <n v="1"/>
    <n v="10"/>
    <n v="88"/>
    <n v="2"/>
    <s v="Carrier B"/>
    <n v="8.0544792617321495"/>
    <x v="1"/>
    <x v="0"/>
    <n v="12"/>
    <n v="971"/>
    <n v="27"/>
    <n v="30.6880193482842"/>
    <x v="0"/>
    <n v="4.5805926191992201"/>
    <x v="1"/>
    <x v="1"/>
    <n v="141.920281771519"/>
    <n v="180.66278038153536"/>
    <n v="9397.0868454871943"/>
    <n v="0.98113724126870261"/>
    <n v="35"/>
    <s v="MEDIUM"/>
  </r>
  <r>
    <x v="1"/>
    <s v="SKU3"/>
    <n v="61.1633430164377"/>
    <n v="68"/>
    <x v="3"/>
    <n v="7766.8364256852301"/>
    <x v="0"/>
    <n v="23"/>
    <n v="13"/>
    <n v="59"/>
    <n v="6"/>
    <s v="Carrier C"/>
    <n v="1.7295685635434199"/>
    <x v="2"/>
    <x v="1"/>
    <n v="24"/>
    <n v="937"/>
    <n v="18"/>
    <n v="35.624741397125"/>
    <x v="1"/>
    <n v="4.7466486206477496"/>
    <x v="2"/>
    <x v="2"/>
    <n v="254.776159219286"/>
    <n v="292.13046917995439"/>
    <n v="7474.7059565052759"/>
    <n v="0.96238745698134343"/>
    <n v="25"/>
    <s v="OPTIMAL"/>
  </r>
  <r>
    <x v="1"/>
    <s v="SKU4"/>
    <n v="4.8054960363458896"/>
    <n v="26"/>
    <x v="4"/>
    <n v="2686.50515156744"/>
    <x v="0"/>
    <n v="5"/>
    <n v="3"/>
    <n v="56"/>
    <n v="8"/>
    <s v="Carrier A"/>
    <n v="3.8905479158706702"/>
    <x v="1"/>
    <x v="2"/>
    <n v="5"/>
    <n v="414"/>
    <n v="3"/>
    <n v="92.065160598712794"/>
    <x v="1"/>
    <n v="3.1455795228330001"/>
    <x v="1"/>
    <x v="2"/>
    <n v="923.44063171192204"/>
    <n v="1019.3963402265055"/>
    <n v="1667.1088113409346"/>
    <n v="0.62054927025479956"/>
    <n v="-2"/>
    <s v="OPTIMAL"/>
  </r>
  <r>
    <x v="0"/>
    <s v="SKU5"/>
    <n v="1.6999760138659299"/>
    <n v="87"/>
    <x v="5"/>
    <n v="2828.3487459757498"/>
    <x v="0"/>
    <n v="90"/>
    <n v="27"/>
    <n v="66"/>
    <n v="3"/>
    <s v="Carrier B"/>
    <n v="4.4440988643822896"/>
    <x v="3"/>
    <x v="3"/>
    <n v="10"/>
    <n v="104"/>
    <n v="17"/>
    <n v="56.766475557431797"/>
    <x v="1"/>
    <n v="2.7791935115711599"/>
    <x v="0"/>
    <x v="2"/>
    <n v="235.461236735537"/>
    <n v="296.6718111573511"/>
    <n v="2531.6769348183989"/>
    <n v="0.89510776859485119"/>
    <n v="41"/>
    <s v="MEDIUM"/>
  </r>
  <r>
    <x v="1"/>
    <s v="SKU6"/>
    <n v="4.0783328631079403"/>
    <n v="48"/>
    <x v="6"/>
    <n v="7823.4765595317303"/>
    <x v="3"/>
    <n v="11"/>
    <n v="15"/>
    <n v="58"/>
    <n v="8"/>
    <s v="Carrier C"/>
    <n v="3.8807633029519999"/>
    <x v="0"/>
    <x v="1"/>
    <n v="14"/>
    <n v="314"/>
    <n v="24"/>
    <n v="1.0850685695870601"/>
    <x v="0"/>
    <n v="1.0009106193041299"/>
    <x v="3"/>
    <x v="2"/>
    <n v="134.36909686103101"/>
    <n v="139.33492873357008"/>
    <n v="7684.1416307981599"/>
    <n v="0.982190151951844"/>
    <n v="31"/>
    <s v="MEDIUM"/>
  </r>
  <r>
    <x v="2"/>
    <s v="SKU7"/>
    <n v="42.958384382459997"/>
    <n v="59"/>
    <x v="7"/>
    <n v="8496.1038130898305"/>
    <x v="1"/>
    <n v="93"/>
    <n v="17"/>
    <n v="11"/>
    <n v="1"/>
    <s v="Carrier B"/>
    <n v="2.3483387844177801"/>
    <x v="3"/>
    <x v="3"/>
    <n v="22"/>
    <n v="564"/>
    <n v="1"/>
    <n v="99.466108603599096"/>
    <x v="1"/>
    <n v="0.39817718685065001"/>
    <x v="0"/>
    <x v="1"/>
    <n v="802.05631181755803"/>
    <n v="903.87075920557493"/>
    <n v="7592.2330538842552"/>
    <n v="0.89361349871773055"/>
    <n v="17"/>
    <s v="OPTIMAL"/>
  </r>
  <r>
    <x v="2"/>
    <s v="SKU8"/>
    <n v="68.717596748527299"/>
    <n v="78"/>
    <x v="8"/>
    <n v="7517.3632106311197"/>
    <x v="1"/>
    <n v="5"/>
    <n v="10"/>
    <n v="15"/>
    <n v="7"/>
    <s v="Carrier C"/>
    <n v="3.4047338570830199"/>
    <x v="3"/>
    <x v="0"/>
    <n v="13"/>
    <n v="769"/>
    <n v="8"/>
    <n v="11.423027139565599"/>
    <x v="0"/>
    <n v="2.7098626911099601"/>
    <x v="3"/>
    <x v="0"/>
    <n v="505.55713422546398"/>
    <n v="520.38489522211262"/>
    <n v="6996.9783154090073"/>
    <n v="0.93077560832950312"/>
    <n v="11"/>
    <s v="OPTIMAL"/>
  </r>
  <r>
    <x v="1"/>
    <s v="SKU9"/>
    <n v="64.0157329412785"/>
    <n v="35"/>
    <x v="9"/>
    <n v="4971.1459875855498"/>
    <x v="2"/>
    <n v="14"/>
    <n v="27"/>
    <n v="83"/>
    <n v="1"/>
    <s v="Carrier A"/>
    <n v="7.1666452910482104"/>
    <x v="4"/>
    <x v="4"/>
    <n v="29"/>
    <n v="963"/>
    <n v="23"/>
    <n v="47.957601634951502"/>
    <x v="0"/>
    <n v="3.8446144787675798"/>
    <x v="2"/>
    <x v="0"/>
    <n v="995.92946149864099"/>
    <n v="1051.0537084246407"/>
    <n v="3920.0922791609091"/>
    <n v="0.78856913254017513"/>
    <n v="49"/>
    <s v="MEDIUM"/>
  </r>
  <r>
    <x v="1"/>
    <s v="SKU10"/>
    <n v="15.707795681912099"/>
    <n v="11"/>
    <x v="10"/>
    <n v="2330.9658020919401"/>
    <x v="0"/>
    <n v="51"/>
    <n v="13"/>
    <n v="80"/>
    <n v="2"/>
    <s v="Carrier C"/>
    <n v="8.6732112112786108"/>
    <x v="2"/>
    <x v="1"/>
    <n v="18"/>
    <n v="830"/>
    <n v="5"/>
    <n v="96.527352785310896"/>
    <x v="2"/>
    <n v="1.72731392835594"/>
    <x v="0"/>
    <x v="0"/>
    <n v="806.10317770292295"/>
    <n v="911.30374169951244"/>
    <n v="1419.6620603924275"/>
    <n v="0.60904456818643271"/>
    <n v="16"/>
    <s v="OPTIMAL"/>
  </r>
  <r>
    <x v="1"/>
    <s v="SKU11"/>
    <n v="90.635459982288594"/>
    <n v="95"/>
    <x v="11"/>
    <n v="6099.9441155814502"/>
    <x v="1"/>
    <n v="46"/>
    <n v="23"/>
    <n v="60"/>
    <n v="1"/>
    <s v="Carrier A"/>
    <n v="4.5239431243166601"/>
    <x v="4"/>
    <x v="1"/>
    <n v="28"/>
    <n v="362"/>
    <n v="11"/>
    <n v="27.5923630866636"/>
    <x v="0"/>
    <n v="2.1169821372994301E-2"/>
    <x v="1"/>
    <x v="2"/>
    <n v="126.72303340940699"/>
    <n v="158.83933962038725"/>
    <n v="5941.1047759610628"/>
    <n v="0.97396052543913403"/>
    <n v="33"/>
    <s v="MEDIUM"/>
  </r>
  <r>
    <x v="0"/>
    <s v="SKU12"/>
    <n v="71.213389075359999"/>
    <n v="41"/>
    <x v="12"/>
    <n v="2873.74144602144"/>
    <x v="2"/>
    <n v="100"/>
    <n v="30"/>
    <n v="85"/>
    <n v="4"/>
    <s v="Carrier A"/>
    <n v="1.32527401018452"/>
    <x v="3"/>
    <x v="1"/>
    <n v="3"/>
    <n v="563"/>
    <n v="3"/>
    <n v="32.321286213424003"/>
    <x v="1"/>
    <n v="2.1612537475559099"/>
    <x v="0"/>
    <x v="0"/>
    <n v="402.96878907376998"/>
    <n v="436.61534929737849"/>
    <n v="2437.1260967240614"/>
    <n v="0.84806728180022872"/>
    <n v="29"/>
    <s v="OPTIMAL"/>
  </r>
  <r>
    <x v="1"/>
    <s v="SKU13"/>
    <n v="16.160393317379899"/>
    <n v="5"/>
    <x v="13"/>
    <n v="4052.7384162378598"/>
    <x v="3"/>
    <n v="80"/>
    <n v="8"/>
    <n v="48"/>
    <n v="9"/>
    <s v="Carrier A"/>
    <n v="9.5372830611083295"/>
    <x v="2"/>
    <x v="3"/>
    <n v="23"/>
    <n v="173"/>
    <n v="10"/>
    <n v="97.829050110173199"/>
    <x v="0"/>
    <n v="1.63107423007153"/>
    <x v="0"/>
    <x v="0"/>
    <n v="547.24100516096803"/>
    <n v="654.60733833224958"/>
    <n v="3398.1310779056103"/>
    <n v="0.83847777203940077"/>
    <n v="9"/>
    <s v="OPTIMAL"/>
  </r>
  <r>
    <x v="1"/>
    <s v="SKU14"/>
    <n v="99.171328638624104"/>
    <n v="26"/>
    <x v="14"/>
    <n v="8653.5709264697998"/>
    <x v="0"/>
    <n v="54"/>
    <n v="29"/>
    <n v="78"/>
    <n v="5"/>
    <s v="Carrier B"/>
    <n v="2.0397701894493299"/>
    <x v="1"/>
    <x v="1"/>
    <n v="25"/>
    <n v="558"/>
    <n v="14"/>
    <n v="5.7914366298629796"/>
    <x v="0"/>
    <n v="0.100682851565093"/>
    <x v="1"/>
    <x v="0"/>
    <n v="929.23528996088896"/>
    <n v="937.06649678020131"/>
    <n v="7716.5044296895985"/>
    <n v="0.89171331641670903"/>
    <n v="38"/>
    <s v="MEDIUM"/>
  </r>
  <r>
    <x v="1"/>
    <s v="SKU15"/>
    <n v="36.989244928626903"/>
    <n v="94"/>
    <x v="15"/>
    <n v="5442.0867853976697"/>
    <x v="0"/>
    <n v="9"/>
    <n v="8"/>
    <n v="69"/>
    <n v="7"/>
    <s v="Carrier B"/>
    <n v="2.4220397232752"/>
    <x v="1"/>
    <x v="3"/>
    <n v="14"/>
    <n v="580"/>
    <n v="7"/>
    <n v="97.121281751474299"/>
    <x v="2"/>
    <n v="2.2644057611985402"/>
    <x v="3"/>
    <x v="0"/>
    <n v="127.861800001625"/>
    <n v="227.40512147637452"/>
    <n v="5214.6816639212948"/>
    <n v="0.95821361723106779"/>
    <n v="8"/>
    <s v="OPTIMAL"/>
  </r>
  <r>
    <x v="1"/>
    <s v="SKU16"/>
    <n v="7.5471721097912701"/>
    <n v="74"/>
    <x v="16"/>
    <n v="6453.7979681762799"/>
    <x v="1"/>
    <n v="2"/>
    <n v="5"/>
    <n v="78"/>
    <n v="1"/>
    <s v="Carrier B"/>
    <n v="4.1913245857054999"/>
    <x v="1"/>
    <x v="3"/>
    <n v="3"/>
    <n v="399"/>
    <n v="21"/>
    <n v="77.106342497849994"/>
    <x v="2"/>
    <n v="1.01256308925804"/>
    <x v="1"/>
    <x v="2"/>
    <n v="865.52577977123997"/>
    <n v="946.82344685479552"/>
    <n v="5506.9745213214846"/>
    <n v="0.85329205352823445"/>
    <n v="25"/>
    <s v="OPTIMAL"/>
  </r>
  <r>
    <x v="2"/>
    <s v="SKU17"/>
    <n v="81.462534369237005"/>
    <n v="82"/>
    <x v="17"/>
    <n v="2629.39643484526"/>
    <x v="1"/>
    <n v="45"/>
    <n v="17"/>
    <n v="85"/>
    <n v="9"/>
    <s v="Carrier C"/>
    <n v="3.5854189582323399"/>
    <x v="1"/>
    <x v="4"/>
    <n v="7"/>
    <n v="453"/>
    <n v="16"/>
    <n v="47.679680368355299"/>
    <x v="1"/>
    <n v="0.102020754918176"/>
    <x v="1"/>
    <x v="1"/>
    <n v="670.93439079241"/>
    <n v="722.19949011899769"/>
    <n v="1907.1969447262622"/>
    <n v="0.72533640019120993"/>
    <n v="24"/>
    <s v="OPTIMAL"/>
  </r>
  <r>
    <x v="0"/>
    <s v="SKU18"/>
    <n v="36.4436277704609"/>
    <n v="23"/>
    <x v="18"/>
    <n v="9364.6735050761708"/>
    <x v="2"/>
    <n v="10"/>
    <n v="10"/>
    <n v="46"/>
    <n v="8"/>
    <s v="Carrier C"/>
    <n v="4.3392247141107001"/>
    <x v="4"/>
    <x v="1"/>
    <n v="18"/>
    <n v="374"/>
    <n v="17"/>
    <n v="27.107980854843898"/>
    <x v="0"/>
    <n v="2.2319391107292601"/>
    <x v="3"/>
    <x v="2"/>
    <n v="593.48025872065102"/>
    <n v="624.92746428960561"/>
    <n v="8739.7460407865656"/>
    <n v="0.93326756517983678"/>
    <n v="19"/>
    <s v="OPTIMAL"/>
  </r>
  <r>
    <x v="1"/>
    <s v="SKU19"/>
    <n v="51.123870087964697"/>
    <n v="100"/>
    <x v="19"/>
    <n v="2553.4955849912099"/>
    <x v="2"/>
    <n v="48"/>
    <n v="11"/>
    <n v="94"/>
    <n v="3"/>
    <s v="Carrier A"/>
    <n v="4.7426358828418698"/>
    <x v="3"/>
    <x v="4"/>
    <n v="20"/>
    <n v="694"/>
    <n v="16"/>
    <n v="82.373320587990193"/>
    <x v="1"/>
    <n v="3.64645086541702"/>
    <x v="0"/>
    <x v="1"/>
    <n v="477.30763109090299"/>
    <n v="564.42358756173508"/>
    <n v="1989.0719974294748"/>
    <n v="0.77896042159646883"/>
    <n v="24"/>
    <s v="OPTIMAL"/>
  </r>
  <r>
    <x v="1"/>
    <s v="SKU20"/>
    <n v="96.341072439963298"/>
    <n v="22"/>
    <x v="20"/>
    <n v="8128.0276968511898"/>
    <x v="2"/>
    <n v="27"/>
    <n v="12"/>
    <n v="68"/>
    <n v="6"/>
    <s v="Carrier A"/>
    <n v="8.8783346509268402"/>
    <x v="1"/>
    <x v="4"/>
    <n v="29"/>
    <n v="309"/>
    <n v="6"/>
    <n v="65.686259608488598"/>
    <x v="2"/>
    <n v="4.2314165735345304"/>
    <x v="1"/>
    <x v="0"/>
    <n v="493.871215316205"/>
    <n v="568.4358095756204"/>
    <n v="7559.5918872755692"/>
    <n v="0.93006473024251213"/>
    <n v="12"/>
    <s v="OPTIMAL"/>
  </r>
  <r>
    <x v="2"/>
    <s v="SKU21"/>
    <n v="84.893868984950799"/>
    <n v="60"/>
    <x v="21"/>
    <n v="7087.0526963574302"/>
    <x v="2"/>
    <n v="69"/>
    <n v="25"/>
    <n v="7"/>
    <n v="6"/>
    <s v="Carrier B"/>
    <n v="6.0378837692182898"/>
    <x v="2"/>
    <x v="4"/>
    <n v="19"/>
    <n v="791"/>
    <n v="4"/>
    <n v="61.735728954160898"/>
    <x v="0"/>
    <n v="1.8607567631014899E-2"/>
    <x v="1"/>
    <x v="1"/>
    <n v="523.36091472015801"/>
    <n v="591.13452744353719"/>
    <n v="6495.9181689138932"/>
    <n v="0.91658951149786627"/>
    <n v="23"/>
    <s v="OPTIMAL"/>
  </r>
  <r>
    <x v="0"/>
    <s v="SKU22"/>
    <n v="27.679780886501899"/>
    <n v="55"/>
    <x v="22"/>
    <n v="2390.8078665561702"/>
    <x v="2"/>
    <n v="71"/>
    <n v="1"/>
    <n v="63"/>
    <n v="10"/>
    <s v="Carrier A"/>
    <n v="9.5676489209230393"/>
    <x v="3"/>
    <x v="1"/>
    <n v="22"/>
    <n v="780"/>
    <n v="28"/>
    <n v="50.120839612977299"/>
    <x v="1"/>
    <n v="2.5912754732111098"/>
    <x v="2"/>
    <x v="1"/>
    <n v="205.57199582694699"/>
    <n v="265.26048436084733"/>
    <n v="2125.5473821953228"/>
    <n v="0.88904985295077654"/>
    <n v="19"/>
    <s v="OPTIMAL"/>
  </r>
  <r>
    <x v="2"/>
    <s v="SKU23"/>
    <n v="4.3243411858641601"/>
    <n v="30"/>
    <x v="23"/>
    <n v="8858.3675710114803"/>
    <x v="2"/>
    <n v="84"/>
    <n v="5"/>
    <n v="29"/>
    <n v="7"/>
    <s v="Carrier A"/>
    <n v="2.92485760114555"/>
    <x v="2"/>
    <x v="1"/>
    <n v="11"/>
    <n v="568"/>
    <n v="29"/>
    <n v="98.6099572427038"/>
    <x v="0"/>
    <n v="1.3422915627227301"/>
    <x v="2"/>
    <x v="2"/>
    <n v="196.329446112412"/>
    <n v="297.86426095626132"/>
    <n v="8560.5033100552191"/>
    <n v="0.96637481357953514"/>
    <n v="27"/>
    <s v="OPTIMAL"/>
  </r>
  <r>
    <x v="0"/>
    <s v="SKU24"/>
    <n v="4.1563083593111001"/>
    <n v="32"/>
    <x v="24"/>
    <n v="9049.0778609398894"/>
    <x v="3"/>
    <n v="4"/>
    <n v="26"/>
    <n v="2"/>
    <n v="8"/>
    <s v="Carrier C"/>
    <n v="9.7412916892843597"/>
    <x v="4"/>
    <x v="3"/>
    <n v="28"/>
    <n v="447"/>
    <n v="3"/>
    <n v="40.382359702924802"/>
    <x v="0"/>
    <n v="3.69131029262872"/>
    <x v="1"/>
    <x v="2"/>
    <n v="758.72477260293795"/>
    <n v="808.84842399514707"/>
    <n v="8240.2294369447427"/>
    <n v="0.91061537579574603"/>
    <n v="21"/>
    <s v="OPTIMAL"/>
  </r>
  <r>
    <x v="0"/>
    <s v="SKU25"/>
    <n v="39.629343985092603"/>
    <n v="73"/>
    <x v="25"/>
    <n v="2174.7770543506499"/>
    <x v="3"/>
    <n v="82"/>
    <n v="11"/>
    <n v="52"/>
    <n v="3"/>
    <s v="Carrier C"/>
    <n v="2.2310736812817198"/>
    <x v="3"/>
    <x v="1"/>
    <n v="19"/>
    <n v="934"/>
    <n v="23"/>
    <n v="78.280383118415301"/>
    <x v="0"/>
    <n v="3.79723121711418"/>
    <x v="0"/>
    <x v="0"/>
    <n v="458.53594573920901"/>
    <n v="539.047402538906"/>
    <n v="1635.7296518117439"/>
    <n v="0.75213670685896761"/>
    <n v="31"/>
    <s v="MEDIUM"/>
  </r>
  <r>
    <x v="0"/>
    <s v="SKU26"/>
    <n v="97.446946617892806"/>
    <n v="9"/>
    <x v="26"/>
    <n v="3716.49332589403"/>
    <x v="3"/>
    <n v="59"/>
    <n v="16"/>
    <n v="48"/>
    <n v="4"/>
    <s v="Carrier B"/>
    <n v="6.5075486210785503"/>
    <x v="4"/>
    <x v="3"/>
    <n v="26"/>
    <n v="171"/>
    <n v="4"/>
    <n v="15.972229757181699"/>
    <x v="2"/>
    <n v="2.1193197367249201"/>
    <x v="2"/>
    <x v="2"/>
    <n v="617.86691645837698"/>
    <n v="640.3466948366372"/>
    <n v="3076.1466310573928"/>
    <n v="0.8277013736644887"/>
    <n v="16"/>
    <s v="OPTIMAL"/>
  </r>
  <r>
    <x v="2"/>
    <s v="SKU27"/>
    <n v="92.557360812401996"/>
    <n v="42"/>
    <x v="27"/>
    <n v="2686.4572235759802"/>
    <x v="2"/>
    <n v="47"/>
    <n v="9"/>
    <n v="62"/>
    <n v="8"/>
    <s v="Carrier C"/>
    <n v="7.4067509529980704"/>
    <x v="2"/>
    <x v="0"/>
    <n v="25"/>
    <n v="291"/>
    <n v="4"/>
    <n v="10.5282450700421"/>
    <x v="1"/>
    <n v="2.8646678378833701"/>
    <x v="3"/>
    <x v="0"/>
    <n v="762.45918215568304"/>
    <n v="780.39417817872322"/>
    <n v="1906.0630453972569"/>
    <n v="0.70950805718025545"/>
    <n v="5"/>
    <s v="OPTIMAL"/>
  </r>
  <r>
    <x v="2"/>
    <s v="SKU28"/>
    <n v="2.3972747055971402"/>
    <n v="12"/>
    <x v="28"/>
    <n v="6117.3246150839896"/>
    <x v="1"/>
    <n v="48"/>
    <n v="15"/>
    <n v="24"/>
    <n v="4"/>
    <s v="Carrier B"/>
    <n v="9.8981405080692202"/>
    <x v="1"/>
    <x v="0"/>
    <n v="13"/>
    <n v="171"/>
    <n v="7"/>
    <n v="59.429381810691503"/>
    <x v="1"/>
    <n v="0.81575707929567198"/>
    <x v="1"/>
    <x v="2"/>
    <n v="123.437027511827"/>
    <n v="192.76454983058773"/>
    <n v="5924.5600652534022"/>
    <n v="0.96848874925563511"/>
    <n v="18"/>
    <s v="OPTIMAL"/>
  </r>
  <r>
    <x v="2"/>
    <s v="SKU29"/>
    <n v="63.447559185207297"/>
    <n v="3"/>
    <x v="29"/>
    <n v="8318.9031946171708"/>
    <x v="1"/>
    <n v="45"/>
    <n v="5"/>
    <n v="67"/>
    <n v="7"/>
    <s v="Carrier B"/>
    <n v="8.1009731453970293"/>
    <x v="1"/>
    <x v="1"/>
    <n v="16"/>
    <n v="329"/>
    <n v="7"/>
    <n v="39.292875586065698"/>
    <x v="2"/>
    <n v="3.8780989365884802"/>
    <x v="0"/>
    <x v="0"/>
    <n v="764.93537594070801"/>
    <n v="812.32922467217077"/>
    <n v="7506.5739699450005"/>
    <n v="0.90235140310350093"/>
    <n v="5"/>
    <s v="OPTIMAL"/>
  </r>
  <r>
    <x v="0"/>
    <s v="SKU30"/>
    <n v="8.0228592105263896"/>
    <n v="10"/>
    <x v="30"/>
    <n v="2766.3423668660798"/>
    <x v="3"/>
    <n v="60"/>
    <n v="26"/>
    <n v="35"/>
    <n v="7"/>
    <s v="Carrier B"/>
    <n v="8.9545283153180097"/>
    <x v="3"/>
    <x v="1"/>
    <n v="27"/>
    <n v="806"/>
    <n v="30"/>
    <n v="51.634893400109299"/>
    <x v="0"/>
    <n v="0.96539470535239302"/>
    <x v="0"/>
    <x v="1"/>
    <n v="880.08098824716103"/>
    <n v="940.67040996258834"/>
    <n v="1825.6719569034915"/>
    <n v="0.65995878846035594"/>
    <n v="49"/>
    <s v="MEDIUM"/>
  </r>
  <r>
    <x v="1"/>
    <s v="SKU31"/>
    <n v="50.847393051718697"/>
    <n v="28"/>
    <x v="31"/>
    <n v="9655.1351027193905"/>
    <x v="3"/>
    <n v="6"/>
    <n v="17"/>
    <n v="44"/>
    <n v="4"/>
    <s v="Carrier B"/>
    <n v="2.6796609649813998"/>
    <x v="0"/>
    <x v="4"/>
    <n v="24"/>
    <n v="461"/>
    <n v="8"/>
    <n v="60.251145661598002"/>
    <x v="0"/>
    <n v="2.9890000066550702"/>
    <x v="2"/>
    <x v="1"/>
    <n v="609.379206618426"/>
    <n v="672.31001324500539"/>
    <n v="8982.8250894743851"/>
    <n v="0.93036762240068005"/>
    <n v="21"/>
    <s v="OPTIMAL"/>
  </r>
  <r>
    <x v="1"/>
    <s v="SKU32"/>
    <n v="79.209936015656695"/>
    <n v="43"/>
    <x v="32"/>
    <n v="9571.5504873278096"/>
    <x v="2"/>
    <n v="89"/>
    <n v="13"/>
    <n v="64"/>
    <n v="4"/>
    <s v="Carrier C"/>
    <n v="6.5991049012385803"/>
    <x v="0"/>
    <x v="1"/>
    <n v="30"/>
    <n v="737"/>
    <n v="7"/>
    <n v="29.6924671537497"/>
    <x v="2"/>
    <n v="1.94603611938611"/>
    <x v="0"/>
    <x v="2"/>
    <n v="761.17390951487698"/>
    <n v="797.46548156986523"/>
    <n v="8774.0850057579446"/>
    <n v="0.91668377211971408"/>
    <n v="16"/>
    <s v="OPTIMAL"/>
  </r>
  <r>
    <x v="2"/>
    <s v="SKU33"/>
    <n v="64.795435000155607"/>
    <n v="63"/>
    <x v="33"/>
    <n v="5149.9983504080301"/>
    <x v="0"/>
    <n v="4"/>
    <n v="17"/>
    <n v="95"/>
    <n v="9"/>
    <s v="Carrier C"/>
    <n v="4.85827050343664"/>
    <x v="2"/>
    <x v="4"/>
    <n v="1"/>
    <n v="251"/>
    <n v="23"/>
    <n v="23.853427512896101"/>
    <x v="1"/>
    <n v="3.54104601225092"/>
    <x v="3"/>
    <x v="2"/>
    <n v="371.25529551987103"/>
    <n v="399.96699353620374"/>
    <n v="4750.0313568718266"/>
    <n v="0.92233648123314171"/>
    <n v="31"/>
    <s v="MEDIUM"/>
  </r>
  <r>
    <x v="1"/>
    <s v="SKU34"/>
    <n v="37.467592329842397"/>
    <n v="96"/>
    <x v="34"/>
    <n v="9061.7108955077201"/>
    <x v="2"/>
    <n v="1"/>
    <n v="26"/>
    <n v="21"/>
    <n v="7"/>
    <s v="Carrier A"/>
    <n v="1.0194875708221101"/>
    <x v="1"/>
    <x v="4"/>
    <n v="4"/>
    <n v="452"/>
    <n v="10"/>
    <n v="10.754272815029299"/>
    <x v="2"/>
    <n v="0.64660455937205397"/>
    <x v="0"/>
    <x v="0"/>
    <n v="510.35800043352299"/>
    <n v="522.13176081937445"/>
    <n v="8539.5791346883452"/>
    <n v="0.94238044373295793"/>
    <n v="29"/>
    <s v="OPTIMAL"/>
  </r>
  <r>
    <x v="2"/>
    <s v="SKU35"/>
    <n v="84.957786816350406"/>
    <n v="11"/>
    <x v="35"/>
    <n v="6541.3293448024597"/>
    <x v="1"/>
    <n v="42"/>
    <n v="27"/>
    <n v="85"/>
    <n v="8"/>
    <s v="Carrier C"/>
    <n v="5.2881899903273997"/>
    <x v="1"/>
    <x v="2"/>
    <n v="3"/>
    <n v="367"/>
    <n v="2"/>
    <n v="58.004787044743701"/>
    <x v="2"/>
    <n v="0.54115409806058101"/>
    <x v="3"/>
    <x v="1"/>
    <n v="553.42047123035502"/>
    <n v="616.71344826542611"/>
    <n v="5924.6158965370332"/>
    <n v="0.90572047121347776"/>
    <n v="21"/>
    <s v="OPTIMAL"/>
  </r>
  <r>
    <x v="1"/>
    <s v="SKU36"/>
    <n v="9.81300257875405"/>
    <n v="34"/>
    <x v="36"/>
    <n v="7573.4024578487297"/>
    <x v="1"/>
    <n v="18"/>
    <n v="23"/>
    <n v="28"/>
    <n v="3"/>
    <s v="Carrier B"/>
    <n v="2.1079512671590801"/>
    <x v="4"/>
    <x v="2"/>
    <n v="26"/>
    <n v="671"/>
    <n v="19"/>
    <n v="45.531364237162101"/>
    <x v="1"/>
    <n v="3.8055333792433501"/>
    <x v="1"/>
    <x v="1"/>
    <n v="403.80897424817999"/>
    <n v="451.44828975250118"/>
    <n v="7121.9541680962284"/>
    <n v="0.94039029455187073"/>
    <n v="39"/>
    <s v="MEDIUM"/>
  </r>
  <r>
    <x v="1"/>
    <s v="SKU37"/>
    <n v="23.3998447526143"/>
    <n v="5"/>
    <x v="36"/>
    <n v="2438.3399304700201"/>
    <x v="1"/>
    <n v="25"/>
    <n v="8"/>
    <n v="21"/>
    <n v="9"/>
    <s v="Carrier A"/>
    <n v="1.53265527359043"/>
    <x v="0"/>
    <x v="1"/>
    <n v="24"/>
    <n v="867"/>
    <n v="15"/>
    <n v="34.343277465075303"/>
    <x v="0"/>
    <n v="2.61028808484811"/>
    <x v="3"/>
    <x v="2"/>
    <n v="183.932968043594"/>
    <n v="219.80890078225974"/>
    <n v="2218.5310296877606"/>
    <n v="0.90985305287606533"/>
    <n v="14"/>
    <s v="OPTIMAL"/>
  </r>
  <r>
    <x v="2"/>
    <s v="SKU38"/>
    <n v="52.075930682707799"/>
    <n v="75"/>
    <x v="37"/>
    <n v="9692.3180402184298"/>
    <x v="0"/>
    <n v="69"/>
    <n v="1"/>
    <n v="88"/>
    <n v="5"/>
    <s v="Carrier B"/>
    <n v="9.2359314372492207"/>
    <x v="2"/>
    <x v="0"/>
    <n v="10"/>
    <n v="841"/>
    <n v="12"/>
    <n v="5.9306936455283097"/>
    <x v="0"/>
    <n v="0.613326899164507"/>
    <x v="1"/>
    <x v="0"/>
    <n v="339.67286994860598"/>
    <n v="354.83949503138354"/>
    <n v="9337.4785451870466"/>
    <n v="0.96338961499622988"/>
    <n v="8"/>
    <s v="OPTIMAL"/>
  </r>
  <r>
    <x v="1"/>
    <s v="SKU39"/>
    <n v="19.127477265823199"/>
    <n v="26"/>
    <x v="38"/>
    <n v="1912.4656631007599"/>
    <x v="1"/>
    <n v="78"/>
    <n v="29"/>
    <n v="34"/>
    <n v="3"/>
    <s v="Carrier A"/>
    <n v="5.5625037788303802"/>
    <x v="4"/>
    <x v="1"/>
    <n v="30"/>
    <n v="791"/>
    <n v="6"/>
    <n v="9.0058074287816403"/>
    <x v="1"/>
    <n v="1.4519722039968099"/>
    <x v="1"/>
    <x v="0"/>
    <n v="653.67299455203295"/>
    <n v="668.241305759645"/>
    <n v="1244.2243573411149"/>
    <n v="0.6505865079552865"/>
    <n v="32"/>
    <s v="MEDIUM"/>
  </r>
  <r>
    <x v="1"/>
    <s v="SKU40"/>
    <n v="80.541424170940303"/>
    <n v="97"/>
    <x v="39"/>
    <n v="5724.9593504562599"/>
    <x v="1"/>
    <n v="90"/>
    <n v="20"/>
    <n v="39"/>
    <n v="8"/>
    <s v="Carrier C"/>
    <n v="7.2295951397364702"/>
    <x v="1"/>
    <x v="1"/>
    <n v="18"/>
    <n v="793"/>
    <n v="1"/>
    <n v="88.179407104217404"/>
    <x v="0"/>
    <n v="4.2132694305865597"/>
    <x v="0"/>
    <x v="2"/>
    <n v="529.80872398069096"/>
    <n v="625.21772622464482"/>
    <n v="5099.7416242316149"/>
    <n v="0.89079088811786633"/>
    <n v="13"/>
    <s v="OPTIMAL"/>
  </r>
  <r>
    <x v="1"/>
    <s v="SKU41"/>
    <n v="99.113291615317095"/>
    <n v="35"/>
    <x v="40"/>
    <n v="5521.2052590109697"/>
    <x v="1"/>
    <n v="64"/>
    <n v="19"/>
    <n v="38"/>
    <n v="8"/>
    <s v="Carrier B"/>
    <n v="5.7732637437666501"/>
    <x v="3"/>
    <x v="4"/>
    <n v="18"/>
    <n v="892"/>
    <n v="7"/>
    <n v="95.332064548772493"/>
    <x v="1"/>
    <n v="4.5302262398259602E-2"/>
    <x v="3"/>
    <x v="2"/>
    <n v="275.52437113130901"/>
    <n v="376.62969942384814"/>
    <n v="5144.5755595871215"/>
    <n v="0.93178487635300933"/>
    <n v="18"/>
    <s v="OPTIMAL"/>
  </r>
  <r>
    <x v="1"/>
    <s v="SKU42"/>
    <n v="46.529167614516702"/>
    <n v="98"/>
    <x v="41"/>
    <n v="1839.60942585676"/>
    <x v="1"/>
    <n v="22"/>
    <n v="27"/>
    <n v="57"/>
    <n v="4"/>
    <s v="Carrier C"/>
    <n v="7.5262483268515004"/>
    <x v="2"/>
    <x v="3"/>
    <n v="26"/>
    <n v="179"/>
    <n v="7"/>
    <n v="96.422820639571796"/>
    <x v="1"/>
    <n v="4.9392552886209398"/>
    <x v="0"/>
    <x v="2"/>
    <n v="635.65712050199102"/>
    <n v="739.6061894684143"/>
    <n v="1100.0032363883456"/>
    <n v="0.59795477285948451"/>
    <n v="30"/>
    <s v="OPTIMAL"/>
  </r>
  <r>
    <x v="0"/>
    <s v="SKU43"/>
    <n v="11.7432717763092"/>
    <n v="6"/>
    <x v="42"/>
    <n v="5737.4255991190203"/>
    <x v="2"/>
    <n v="36"/>
    <n v="29"/>
    <n v="85"/>
    <n v="9"/>
    <s v="Carrier B"/>
    <n v="3.6940212683884499"/>
    <x v="2"/>
    <x v="0"/>
    <n v="1"/>
    <n v="206"/>
    <n v="23"/>
    <n v="26.2773659573324"/>
    <x v="0"/>
    <n v="0.37230476798509698"/>
    <x v="1"/>
    <x v="2"/>
    <n v="716.04411975933999"/>
    <n v="746.01550698506082"/>
    <n v="4991.4100921339596"/>
    <n v="0.86997382465410777"/>
    <n v="43"/>
    <s v="MEDIUM"/>
  </r>
  <r>
    <x v="2"/>
    <s v="SKU44"/>
    <n v="51.355790913110297"/>
    <n v="34"/>
    <x v="43"/>
    <n v="7152.28604943551"/>
    <x v="1"/>
    <n v="13"/>
    <n v="19"/>
    <n v="72"/>
    <n v="6"/>
    <s v="Carrier C"/>
    <n v="7.5774496573766896"/>
    <x v="4"/>
    <x v="2"/>
    <n v="7"/>
    <n v="834"/>
    <n v="18"/>
    <n v="22.554106620887701"/>
    <x v="1"/>
    <n v="2.9626263204548802"/>
    <x v="2"/>
    <x v="2"/>
    <n v="610.45326961922694"/>
    <n v="640.58482589749133"/>
    <n v="6511.7012235380189"/>
    <n v="0.91043635259134403"/>
    <n v="31"/>
    <s v="MEDIUM"/>
  </r>
  <r>
    <x v="0"/>
    <s v="SKU45"/>
    <n v="33.784138033065503"/>
    <n v="1"/>
    <x v="44"/>
    <n v="5267.9568075105199"/>
    <x v="3"/>
    <n v="93"/>
    <n v="7"/>
    <n v="52"/>
    <n v="6"/>
    <s v="Carrier B"/>
    <n v="5.2151550087119096"/>
    <x v="4"/>
    <x v="4"/>
    <n v="25"/>
    <n v="794"/>
    <n v="25"/>
    <n v="66.312544439991598"/>
    <x v="2"/>
    <n v="3.2196046120841002"/>
    <x v="2"/>
    <x v="2"/>
    <n v="495.30569702847299"/>
    <n v="566.83339647717651"/>
    <n v="4701.1234110333435"/>
    <n v="0.89239976385739483"/>
    <n v="26"/>
    <s v="OPTIMAL"/>
  </r>
  <r>
    <x v="0"/>
    <s v="SKU46"/>
    <n v="27.082207199888899"/>
    <n v="75"/>
    <x v="45"/>
    <n v="2556.7673606335902"/>
    <x v="0"/>
    <n v="92"/>
    <n v="29"/>
    <n v="6"/>
    <n v="8"/>
    <s v="Carrier B"/>
    <n v="4.0709558370840799"/>
    <x v="0"/>
    <x v="4"/>
    <n v="18"/>
    <n v="870"/>
    <n v="23"/>
    <n v="77.322353211051606"/>
    <x v="0"/>
    <n v="3.6486105925361998"/>
    <x v="0"/>
    <x v="0"/>
    <n v="380.43593711196399"/>
    <n v="461.82924616009967"/>
    <n v="2094.9381144734907"/>
    <n v="0.81936986005419987"/>
    <n v="44"/>
    <s v="MEDIUM"/>
  </r>
  <r>
    <x v="1"/>
    <s v="SKU47"/>
    <n v="95.712135880936003"/>
    <n v="93"/>
    <x v="46"/>
    <n v="7089.4742499341801"/>
    <x v="3"/>
    <n v="4"/>
    <n v="15"/>
    <n v="51"/>
    <n v="9"/>
    <s v="Carrier B"/>
    <n v="8.9787507559499709"/>
    <x v="1"/>
    <x v="1"/>
    <n v="10"/>
    <n v="964"/>
    <n v="20"/>
    <n v="19.7129929112936"/>
    <x v="0"/>
    <n v="0.38057358671321301"/>
    <x v="2"/>
    <x v="2"/>
    <n v="581.60235505058597"/>
    <n v="610.29409871782957"/>
    <n v="6479.1801512163502"/>
    <n v="0.91391546436274929"/>
    <n v="26"/>
    <s v="OPTIMAL"/>
  </r>
  <r>
    <x v="0"/>
    <s v="SKU48"/>
    <n v="76.035544426891704"/>
    <n v="28"/>
    <x v="47"/>
    <n v="7397.0710045871801"/>
    <x v="0"/>
    <n v="30"/>
    <n v="16"/>
    <n v="9"/>
    <n v="3"/>
    <s v="Carrier C"/>
    <n v="7.0958331565551296"/>
    <x v="4"/>
    <x v="0"/>
    <n v="9"/>
    <n v="109"/>
    <n v="18"/>
    <n v="23.126363582464698"/>
    <x v="1"/>
    <n v="1.6981125407144"/>
    <x v="2"/>
    <x v="0"/>
    <n v="768.65191395437"/>
    <n v="798.87411069338987"/>
    <n v="6598.1968938937898"/>
    <n v="0.89200129210629708"/>
    <n v="31"/>
    <s v="MEDIUM"/>
  </r>
  <r>
    <x v="2"/>
    <s v="SKU49"/>
    <n v="78.897913205639995"/>
    <n v="19"/>
    <x v="48"/>
    <n v="8001.6132065190004"/>
    <x v="2"/>
    <n v="97"/>
    <n v="24"/>
    <n v="9"/>
    <n v="6"/>
    <s v="Carrier C"/>
    <n v="2.5056210329009101"/>
    <x v="2"/>
    <x v="2"/>
    <n v="28"/>
    <n v="177"/>
    <n v="28"/>
    <n v="14.1478154439792"/>
    <x v="2"/>
    <n v="2.8258139854001301"/>
    <x v="2"/>
    <x v="2"/>
    <n v="336.89016851997701"/>
    <n v="353.54360499685714"/>
    <n v="7648.0696015221429"/>
    <n v="0.95581595912324013"/>
    <n v="46"/>
    <s v="MEDIUM"/>
  </r>
  <r>
    <x v="2"/>
    <s v="SKU50"/>
    <n v="14.203484264803"/>
    <n v="91"/>
    <x v="49"/>
    <n v="5910.8853896688897"/>
    <x v="1"/>
    <n v="31"/>
    <n v="23"/>
    <n v="82"/>
    <n v="10"/>
    <s v="Carrier A"/>
    <n v="6.2478609149759903"/>
    <x v="4"/>
    <x v="2"/>
    <n v="20"/>
    <n v="306"/>
    <n v="21"/>
    <n v="45.178757924634503"/>
    <x v="1"/>
    <n v="4.7548008046711798"/>
    <x v="2"/>
    <x v="0"/>
    <n v="496.24865029194001"/>
    <n v="547.67526913155052"/>
    <n v="5363.2101205373392"/>
    <n v="0.90734463062187209"/>
    <n v="34"/>
    <s v="MEDIUM"/>
  </r>
  <r>
    <x v="0"/>
    <s v="SKU51"/>
    <n v="26.700760972461701"/>
    <n v="61"/>
    <x v="50"/>
    <n v="9866.4654579796897"/>
    <x v="3"/>
    <n v="100"/>
    <n v="4"/>
    <n v="52"/>
    <n v="1"/>
    <s v="Carrier A"/>
    <n v="4.78300055794766"/>
    <x v="2"/>
    <x v="3"/>
    <n v="18"/>
    <n v="673"/>
    <n v="28"/>
    <n v="14.190328344569901"/>
    <x v="0"/>
    <n v="1.77295117208355"/>
    <x v="0"/>
    <x v="2"/>
    <n v="694.98231757944495"/>
    <n v="713.9556464819625"/>
    <n v="9152.5098114977263"/>
    <n v="0.92763815476549016"/>
    <n v="31"/>
    <s v="MEDIUM"/>
  </r>
  <r>
    <x v="1"/>
    <s v="SKU52"/>
    <n v="98.031829656465007"/>
    <n v="1"/>
    <x v="51"/>
    <n v="9435.7626089121295"/>
    <x v="3"/>
    <n v="64"/>
    <n v="11"/>
    <n v="11"/>
    <n v="1"/>
    <s v="Carrier B"/>
    <n v="8.6310521797689397"/>
    <x v="1"/>
    <x v="0"/>
    <n v="10"/>
    <n v="727"/>
    <n v="27"/>
    <n v="9.1668491485971497"/>
    <x v="0"/>
    <n v="2.1224716191438202"/>
    <x v="1"/>
    <x v="1"/>
    <n v="602.89849883838303"/>
    <n v="620.69640016674907"/>
    <n v="8815.0662087453802"/>
    <n v="0.93421873505163233"/>
    <n v="37"/>
    <s v="MEDIUM"/>
  </r>
  <r>
    <x v="1"/>
    <s v="SKU53"/>
    <n v="30.3414707112142"/>
    <n v="93"/>
    <x v="52"/>
    <n v="8232.3348294258194"/>
    <x v="3"/>
    <n v="96"/>
    <n v="25"/>
    <n v="54"/>
    <n v="3"/>
    <s v="Carrier B"/>
    <n v="1.0134865660958901"/>
    <x v="1"/>
    <x v="2"/>
    <n v="1"/>
    <n v="631"/>
    <n v="17"/>
    <n v="83.344058991677898"/>
    <x v="0"/>
    <n v="1.41034757607602"/>
    <x v="1"/>
    <x v="0"/>
    <n v="750.73784066827"/>
    <n v="835.09538622604373"/>
    <n v="7397.2394431997755"/>
    <n v="0.89855910825674112"/>
    <n v="39"/>
    <s v="MEDIUM"/>
  </r>
  <r>
    <x v="0"/>
    <s v="SKU54"/>
    <n v="31.1462431602408"/>
    <n v="11"/>
    <x v="53"/>
    <n v="6088.0214799408504"/>
    <x v="0"/>
    <n v="33"/>
    <n v="22"/>
    <n v="61"/>
    <n v="3"/>
    <s v="Carrier B"/>
    <n v="4.3051034712876302"/>
    <x v="1"/>
    <x v="1"/>
    <n v="26"/>
    <n v="497"/>
    <n v="29"/>
    <n v="30.186023375822501"/>
    <x v="2"/>
    <n v="2.4787719755397402"/>
    <x v="0"/>
    <x v="0"/>
    <n v="814.06999658218695"/>
    <n v="848.56112342929703"/>
    <n v="5239.4603565115531"/>
    <n v="0.86061791565204171"/>
    <n v="48"/>
    <s v="MEDIUM"/>
  </r>
  <r>
    <x v="0"/>
    <s v="SKU55"/>
    <n v="79.855058340789398"/>
    <n v="16"/>
    <x v="54"/>
    <n v="2925.6751703038099"/>
    <x v="3"/>
    <n v="97"/>
    <n v="11"/>
    <n v="11"/>
    <n v="5"/>
    <s v="Carrier A"/>
    <n v="5.0143649550309002"/>
    <x v="4"/>
    <x v="2"/>
    <n v="27"/>
    <n v="918"/>
    <n v="5"/>
    <n v="30.323545256616502"/>
    <x v="1"/>
    <n v="4.5489196593963799"/>
    <x v="3"/>
    <x v="0"/>
    <n v="323.01292795247798"/>
    <n v="358.35083816412538"/>
    <n v="2567.3243321396844"/>
    <n v="0.87751516579781019"/>
    <n v="11"/>
    <s v="OPTIMAL"/>
  </r>
  <r>
    <x v="1"/>
    <s v="SKU56"/>
    <n v="20.9863860370433"/>
    <n v="90"/>
    <x v="55"/>
    <n v="4767.0204843441297"/>
    <x v="0"/>
    <n v="25"/>
    <n v="23"/>
    <n v="83"/>
    <n v="5"/>
    <s v="Carrier C"/>
    <n v="1.77442971407173"/>
    <x v="1"/>
    <x v="0"/>
    <n v="24"/>
    <n v="826"/>
    <n v="28"/>
    <n v="12.8362845728327"/>
    <x v="2"/>
    <n v="1.1737554953874501"/>
    <x v="1"/>
    <x v="0"/>
    <n v="832.210808706021"/>
    <n v="846.82152299292545"/>
    <n v="3920.1989613512042"/>
    <n v="0.82235832093147898"/>
    <n v="46"/>
    <s v="MEDIUM"/>
  </r>
  <r>
    <x v="0"/>
    <s v="SKU57"/>
    <n v="49.263205350734097"/>
    <n v="65"/>
    <x v="56"/>
    <n v="1605.8669003924001"/>
    <x v="2"/>
    <n v="5"/>
    <n v="18"/>
    <n v="51"/>
    <n v="1"/>
    <s v="Carrier B"/>
    <n v="9.1605585353818704"/>
    <x v="4"/>
    <x v="2"/>
    <n v="21"/>
    <n v="588"/>
    <n v="25"/>
    <n v="67.779622987078099"/>
    <x v="0"/>
    <n v="2.5111748302126999"/>
    <x v="2"/>
    <x v="2"/>
    <n v="482.19123860252802"/>
    <n v="559.13142012498793"/>
    <n v="1046.7354802674122"/>
    <n v="0.65181957484249664"/>
    <n v="42"/>
    <s v="MEDIUM"/>
  </r>
  <r>
    <x v="1"/>
    <s v="SKU58"/>
    <n v="59.841561377289302"/>
    <n v="81"/>
    <x v="57"/>
    <n v="2021.1498103371"/>
    <x v="0"/>
    <n v="10"/>
    <n v="5"/>
    <n v="44"/>
    <n v="7"/>
    <s v="Carrier A"/>
    <n v="4.9384385647120901"/>
    <x v="0"/>
    <x v="2"/>
    <n v="18"/>
    <n v="396"/>
    <n v="7"/>
    <n v="65.047415094691402"/>
    <x v="1"/>
    <n v="1.7303747198591899"/>
    <x v="0"/>
    <x v="0"/>
    <n v="110.364335231364"/>
    <n v="180.35018889076747"/>
    <n v="1840.7996214463326"/>
    <n v="0.91076851999373198"/>
    <n v="5"/>
    <s v="OPTIMAL"/>
  </r>
  <r>
    <x v="2"/>
    <s v="SKU59"/>
    <n v="63.828398347710902"/>
    <n v="30"/>
    <x v="58"/>
    <n v="1061.6185230132801"/>
    <x v="0"/>
    <n v="100"/>
    <n v="16"/>
    <n v="26"/>
    <n v="7"/>
    <s v="Carrier B"/>
    <n v="7.2937225968677204"/>
    <x v="1"/>
    <x v="1"/>
    <n v="11"/>
    <n v="176"/>
    <n v="4"/>
    <n v="1.90076224351945"/>
    <x v="1"/>
    <n v="0.44719401546382298"/>
    <x v="1"/>
    <x v="2"/>
    <n v="312.57427361009297"/>
    <n v="321.76875845048016"/>
    <n v="739.84976456279992"/>
    <n v="0.6969073622253904"/>
    <n v="13"/>
    <s v="OPTIMAL"/>
  </r>
  <r>
    <x v="1"/>
    <s v="SKU60"/>
    <n v="17.028027920188698"/>
    <n v="16"/>
    <x v="59"/>
    <n v="8864.0843495864301"/>
    <x v="1"/>
    <n v="41"/>
    <n v="27"/>
    <n v="72"/>
    <n v="8"/>
    <s v="Carrier C"/>
    <n v="4.3813681581023101"/>
    <x v="3"/>
    <x v="0"/>
    <n v="29"/>
    <n v="929"/>
    <n v="24"/>
    <n v="87.213057815135599"/>
    <x v="1"/>
    <n v="2.8530906166490499"/>
    <x v="2"/>
    <x v="2"/>
    <n v="430.16909697513597"/>
    <n v="521.76352294837386"/>
    <n v="8342.320826638057"/>
    <n v="0.94113734680641692"/>
    <n v="43"/>
    <s v="MEDIUM"/>
  </r>
  <r>
    <x v="0"/>
    <s v="SKU61"/>
    <n v="52.028749903294901"/>
    <n v="23"/>
    <x v="60"/>
    <n v="6885.5893508962499"/>
    <x v="2"/>
    <n v="32"/>
    <n v="23"/>
    <n v="36"/>
    <n v="7"/>
    <s v="Carrier C"/>
    <n v="9.0303404225219399"/>
    <x v="3"/>
    <x v="1"/>
    <n v="14"/>
    <n v="480"/>
    <n v="12"/>
    <n v="78.702393968878894"/>
    <x v="1"/>
    <n v="4.3674705382050503"/>
    <x v="1"/>
    <x v="2"/>
    <n v="164.366528243419"/>
    <n v="252.09926263481984"/>
    <n v="6633.4900882614302"/>
    <n v="0.96338740959014557"/>
    <n v="28"/>
    <s v="OPTIMAL"/>
  </r>
  <r>
    <x v="2"/>
    <s v="SKU62"/>
    <n v="72.796353955587307"/>
    <n v="89"/>
    <x v="61"/>
    <n v="3899.7468337292198"/>
    <x v="2"/>
    <n v="86"/>
    <n v="2"/>
    <n v="40"/>
    <n v="7"/>
    <s v="Carrier C"/>
    <n v="7.2917013887767697"/>
    <x v="4"/>
    <x v="0"/>
    <n v="13"/>
    <n v="751"/>
    <n v="14"/>
    <n v="21.048642725168602"/>
    <x v="2"/>
    <n v="1.87400140404437"/>
    <x v="3"/>
    <x v="1"/>
    <n v="320.84651575911101"/>
    <n v="349.18685987305639"/>
    <n v="3550.5599738561632"/>
    <n v="0.91045909522820512"/>
    <n v="9"/>
    <s v="OPTIMAL"/>
  </r>
  <r>
    <x v="1"/>
    <s v="SKU63"/>
    <n v="13.0173767852878"/>
    <n v="55"/>
    <x v="62"/>
    <n v="4256.9491408502199"/>
    <x v="0"/>
    <n v="54"/>
    <n v="19"/>
    <n v="10"/>
    <n v="4"/>
    <s v="Carrier A"/>
    <n v="2.45793352798733"/>
    <x v="0"/>
    <x v="3"/>
    <n v="18"/>
    <n v="736"/>
    <n v="10"/>
    <n v="20.075003975630398"/>
    <x v="0"/>
    <n v="3.6328432903821302"/>
    <x v="3"/>
    <x v="2"/>
    <n v="687.28617786641701"/>
    <n v="709.81911537003475"/>
    <n v="3547.1300254801854"/>
    <n v="0.83325637871532898"/>
    <n v="25"/>
    <s v="OPTIMAL"/>
  </r>
  <r>
    <x v="1"/>
    <s v="SKU64"/>
    <n v="89.634095608135297"/>
    <n v="11"/>
    <x v="63"/>
    <n v="8458.7308783671706"/>
    <x v="1"/>
    <n v="73"/>
    <n v="27"/>
    <n v="75"/>
    <n v="6"/>
    <s v="Carrier C"/>
    <n v="4.5853534681946497"/>
    <x v="1"/>
    <x v="2"/>
    <n v="17"/>
    <n v="328"/>
    <n v="6"/>
    <n v="8.6930424258772803"/>
    <x v="1"/>
    <n v="0.15948631471751401"/>
    <x v="1"/>
    <x v="1"/>
    <n v="771.225084681157"/>
    <n v="784.50348057522888"/>
    <n v="7674.2273977919413"/>
    <n v="0.90725517907401898"/>
    <n v="27"/>
    <s v="OPTIMAL"/>
  </r>
  <r>
    <x v="1"/>
    <s v="SKU65"/>
    <n v="33.697717206643098"/>
    <n v="72"/>
    <x v="64"/>
    <n v="8354.5796864819895"/>
    <x v="3"/>
    <n v="57"/>
    <n v="24"/>
    <n v="54"/>
    <n v="8"/>
    <s v="Carrier C"/>
    <n v="6.5805413478845898"/>
    <x v="2"/>
    <x v="1"/>
    <n v="16"/>
    <n v="358"/>
    <n v="21"/>
    <n v="1.59722274305067"/>
    <x v="1"/>
    <n v="4.9110959548423301"/>
    <x v="2"/>
    <x v="1"/>
    <n v="555.85910367174301"/>
    <n v="564.0368677626783"/>
    <n v="7790.5428187193111"/>
    <n v="0.93248770268176262"/>
    <n v="37"/>
    <s v="MEDIUM"/>
  </r>
  <r>
    <x v="1"/>
    <s v="SKU66"/>
    <n v="26.034869773962001"/>
    <n v="52"/>
    <x v="65"/>
    <n v="8367.7216180201503"/>
    <x v="1"/>
    <n v="13"/>
    <n v="17"/>
    <n v="19"/>
    <n v="8"/>
    <s v="Carrier A"/>
    <n v="2.2161427287713602"/>
    <x v="2"/>
    <x v="1"/>
    <n v="24"/>
    <n v="867"/>
    <n v="28"/>
    <n v="42.084436738309897"/>
    <x v="1"/>
    <n v="3.44806328834026"/>
    <x v="0"/>
    <x v="2"/>
    <n v="393.84334857842703"/>
    <n v="438.14392804550829"/>
    <n v="7929.5776899746425"/>
    <n v="0.94763880204834361"/>
    <n v="37"/>
    <s v="MEDIUM"/>
  </r>
  <r>
    <x v="1"/>
    <s v="SKU67"/>
    <n v="87.755432354001002"/>
    <n v="16"/>
    <x v="66"/>
    <n v="9473.7980325083299"/>
    <x v="2"/>
    <n v="12"/>
    <n v="9"/>
    <n v="71"/>
    <n v="9"/>
    <s v="Carrier C"/>
    <n v="9.1478115447106294"/>
    <x v="1"/>
    <x v="0"/>
    <n v="10"/>
    <n v="198"/>
    <n v="11"/>
    <n v="7.0578761469782298"/>
    <x v="2"/>
    <n v="0.131955444311814"/>
    <x v="3"/>
    <x v="1"/>
    <n v="169.27180138478599"/>
    <n v="185.47748907647485"/>
    <n v="9288.3205434318552"/>
    <n v="0.98042205581752662"/>
    <n v="11"/>
    <s v="OPTIMAL"/>
  </r>
  <r>
    <x v="0"/>
    <s v="SKU68"/>
    <n v="37.931812382790298"/>
    <n v="29"/>
    <x v="67"/>
    <n v="3550.21843278099"/>
    <x v="0"/>
    <n v="0"/>
    <n v="8"/>
    <n v="58"/>
    <n v="8"/>
    <s v="Carrier B"/>
    <n v="1.19425186488499"/>
    <x v="4"/>
    <x v="3"/>
    <n v="2"/>
    <n v="375"/>
    <n v="18"/>
    <n v="97.113581563462205"/>
    <x v="1"/>
    <n v="1.9834678721741801"/>
    <x v="2"/>
    <x v="2"/>
    <n v="299.70630311810299"/>
    <n v="398.01413654645017"/>
    <n v="3152.2042962345399"/>
    <n v="0.88789023997188987"/>
    <n v="18"/>
    <s v="OPTIMAL"/>
  </r>
  <r>
    <x v="1"/>
    <s v="SKU69"/>
    <n v="54.865528517069698"/>
    <n v="62"/>
    <x v="68"/>
    <n v="1752.3810874841199"/>
    <x v="0"/>
    <n v="95"/>
    <n v="1"/>
    <n v="27"/>
    <n v="3"/>
    <s v="Carrier B"/>
    <n v="9.7052867901203399"/>
    <x v="3"/>
    <x v="1"/>
    <n v="9"/>
    <n v="862"/>
    <n v="7"/>
    <n v="77.627765812748095"/>
    <x v="0"/>
    <n v="1.3623879886490999"/>
    <x v="1"/>
    <x v="2"/>
    <n v="207.66320620857499"/>
    <n v="294.99625881144345"/>
    <n v="1457.3848286726766"/>
    <n v="0.83165975659154867"/>
    <n v="5"/>
    <s v="OPTIMAL"/>
  </r>
  <r>
    <x v="0"/>
    <s v="SKU70"/>
    <n v="47.914541824058702"/>
    <n v="90"/>
    <x v="69"/>
    <n v="7014.8879872033804"/>
    <x v="1"/>
    <n v="10"/>
    <n v="12"/>
    <n v="22"/>
    <n v="4"/>
    <s v="Carrier B"/>
    <n v="6.3157177546007199"/>
    <x v="1"/>
    <x v="3"/>
    <n v="22"/>
    <n v="775"/>
    <n v="16"/>
    <n v="11.440781823761199"/>
    <x v="2"/>
    <n v="1.8305755986122301"/>
    <x v="0"/>
    <x v="1"/>
    <n v="183.27289874871099"/>
    <n v="201.0293983270729"/>
    <n v="6813.8585888763073"/>
    <n v="0.97134246495542154"/>
    <n v="24"/>
    <s v="OPTIMAL"/>
  </r>
  <r>
    <x v="2"/>
    <s v="SKU71"/>
    <n v="6.3815331627479601"/>
    <n v="14"/>
    <x v="70"/>
    <n v="8180.3370854254399"/>
    <x v="1"/>
    <n v="76"/>
    <n v="2"/>
    <n v="26"/>
    <n v="6"/>
    <s v="Carrier A"/>
    <n v="9.2281903170525101"/>
    <x v="4"/>
    <x v="3"/>
    <n v="2"/>
    <n v="258"/>
    <n v="10"/>
    <n v="30.661677477859499"/>
    <x v="0"/>
    <n v="2.07875060787496"/>
    <x v="0"/>
    <x v="2"/>
    <n v="405.167067888855"/>
    <n v="445.05693568376699"/>
    <n v="7735.2801497416731"/>
    <n v="0.94559430362879471"/>
    <n v="6"/>
    <s v="OPTIMAL"/>
  </r>
  <r>
    <x v="2"/>
    <s v="SKU72"/>
    <n v="90.204427520528"/>
    <n v="88"/>
    <x v="71"/>
    <n v="2633.1219813122498"/>
    <x v="0"/>
    <n v="57"/>
    <n v="29"/>
    <n v="77"/>
    <n v="9"/>
    <s v="Carrier A"/>
    <n v="6.5996141596895397"/>
    <x v="1"/>
    <x v="3"/>
    <n v="21"/>
    <n v="152"/>
    <n v="11"/>
    <n v="55.760492895244198"/>
    <x v="0"/>
    <n v="3.2133296074383"/>
    <x v="2"/>
    <x v="0"/>
    <n v="677.94456984618296"/>
    <n v="740.30467690111664"/>
    <n v="1892.8173044111331"/>
    <n v="0.71884907643656659"/>
    <n v="31"/>
    <s v="MEDIUM"/>
  </r>
  <r>
    <x v="2"/>
    <s v="SKU73"/>
    <n v="83.851017681304597"/>
    <n v="41"/>
    <x v="72"/>
    <n v="7910.8869161406801"/>
    <x v="3"/>
    <n v="17"/>
    <n v="25"/>
    <n v="66"/>
    <n v="5"/>
    <s v="Carrier B"/>
    <n v="1.5129368369160701"/>
    <x v="3"/>
    <x v="4"/>
    <n v="13"/>
    <n v="444"/>
    <n v="4"/>
    <n v="46.870238797617098"/>
    <x v="1"/>
    <n v="4.6205460645137002"/>
    <x v="0"/>
    <x v="2"/>
    <n v="866.472800129657"/>
    <n v="914.85597576419013"/>
    <n v="6996.0309403764895"/>
    <n v="0.88435481565314777"/>
    <n v="24"/>
    <s v="OPTIMAL"/>
  </r>
  <r>
    <x v="0"/>
    <s v="SKU74"/>
    <n v="3.1700114135661499"/>
    <n v="64"/>
    <x v="73"/>
    <n v="5709.9452959692799"/>
    <x v="1"/>
    <n v="41"/>
    <n v="6"/>
    <n v="1"/>
    <n v="5"/>
    <s v="Carrier A"/>
    <n v="5.2376546500374399"/>
    <x v="3"/>
    <x v="2"/>
    <n v="1"/>
    <n v="919"/>
    <n v="9"/>
    <n v="80.580852156447804"/>
    <x v="1"/>
    <n v="0.39661272410993498"/>
    <x v="2"/>
    <x v="2"/>
    <n v="341.55265678322297"/>
    <n v="427.3711635897082"/>
    <n v="5282.5741323795719"/>
    <n v="0.92515319474402069"/>
    <n v="10"/>
    <s v="OPTIMAL"/>
  </r>
  <r>
    <x v="1"/>
    <s v="SKU75"/>
    <n v="92.996884233970604"/>
    <n v="29"/>
    <x v="74"/>
    <n v="1889.07358977933"/>
    <x v="0"/>
    <n v="16"/>
    <n v="20"/>
    <n v="56"/>
    <n v="10"/>
    <s v="Carrier C"/>
    <n v="2.47389776104546"/>
    <x v="1"/>
    <x v="4"/>
    <n v="25"/>
    <n v="759"/>
    <n v="11"/>
    <n v="48.064782640006499"/>
    <x v="2"/>
    <n v="2.0300690886687498"/>
    <x v="1"/>
    <x v="1"/>
    <n v="873.12964801765099"/>
    <n v="923.66832841870291"/>
    <n v="965.40526136062704"/>
    <n v="0.51104693146093894"/>
    <n v="21"/>
    <s v="OPTIMAL"/>
  </r>
  <r>
    <x v="0"/>
    <s v="SKU76"/>
    <n v="69.108799547430294"/>
    <n v="23"/>
    <x v="75"/>
    <n v="5328.3759842977497"/>
    <x v="3"/>
    <n v="38"/>
    <n v="1"/>
    <n v="22"/>
    <n v="10"/>
    <s v="Carrier A"/>
    <n v="7.0545383368369201"/>
    <x v="4"/>
    <x v="3"/>
    <n v="25"/>
    <n v="985"/>
    <n v="24"/>
    <n v="64.323597795600193"/>
    <x v="0"/>
    <n v="2.1800374515822099"/>
    <x v="2"/>
    <x v="2"/>
    <n v="997.41345013319403"/>
    <n v="1068.7915862656312"/>
    <n v="4259.5843980321188"/>
    <n v="0.79941513335108771"/>
    <n v="15"/>
    <s v="OPTIMAL"/>
  </r>
  <r>
    <x v="0"/>
    <s v="SKU77"/>
    <n v="57.449742958971399"/>
    <n v="14"/>
    <x v="76"/>
    <n v="2483.7601775427902"/>
    <x v="2"/>
    <n v="96"/>
    <n v="28"/>
    <n v="57"/>
    <n v="4"/>
    <s v="Carrier B"/>
    <n v="6.7809466256178901"/>
    <x v="1"/>
    <x v="1"/>
    <n v="26"/>
    <n v="334"/>
    <n v="5"/>
    <n v="42.952444748991802"/>
    <x v="2"/>
    <n v="3.0551418183075398"/>
    <x v="0"/>
    <x v="0"/>
    <n v="852.56809891984994"/>
    <n v="902.30149029445965"/>
    <n v="1581.4586872483305"/>
    <n v="0.63671955994273333"/>
    <n v="29"/>
    <s v="OPTIMAL"/>
  </r>
  <r>
    <x v="0"/>
    <s v="SKU78"/>
    <n v="6.30688317611191"/>
    <n v="50"/>
    <x v="77"/>
    <n v="1292.45841793775"/>
    <x v="2"/>
    <n v="5"/>
    <n v="4"/>
    <n v="51"/>
    <n v="5"/>
    <s v="Carrier B"/>
    <n v="8.4670497708619905"/>
    <x v="2"/>
    <x v="0"/>
    <n v="25"/>
    <n v="858"/>
    <n v="21"/>
    <n v="71.126514720403307"/>
    <x v="0"/>
    <n v="4.0968813324704501"/>
    <x v="3"/>
    <x v="1"/>
    <n v="323.59220343132199"/>
    <n v="403.18576792258727"/>
    <n v="889.27265001516275"/>
    <n v="0.68804739686255323"/>
    <n v="20"/>
    <s v="OPTIMAL"/>
  </r>
  <r>
    <x v="0"/>
    <s v="SKU79"/>
    <n v="57.057031221103202"/>
    <n v="56"/>
    <x v="78"/>
    <n v="7888.7232684270803"/>
    <x v="0"/>
    <n v="31"/>
    <n v="25"/>
    <n v="20"/>
    <n v="1"/>
    <s v="Carrier B"/>
    <n v="6.49632536429504"/>
    <x v="0"/>
    <x v="3"/>
    <n v="5"/>
    <n v="228"/>
    <n v="12"/>
    <n v="57.870902924036201"/>
    <x v="0"/>
    <n v="0.16587162748060799"/>
    <x v="1"/>
    <x v="1"/>
    <n v="351.50421933503799"/>
    <n v="415.87144762336925"/>
    <n v="7472.8518208037112"/>
    <n v="0.94728279425292994"/>
    <n v="36"/>
    <s v="MEDIUM"/>
  </r>
  <r>
    <x v="1"/>
    <s v="SKU80"/>
    <n v="91.128318350444303"/>
    <n v="75"/>
    <x v="79"/>
    <n v="8651.67268298206"/>
    <x v="2"/>
    <n v="39"/>
    <n v="14"/>
    <n v="41"/>
    <n v="2"/>
    <s v="Carrier C"/>
    <n v="2.8331846794189701"/>
    <x v="0"/>
    <x v="4"/>
    <n v="8"/>
    <n v="202"/>
    <n v="5"/>
    <n v="76.961228023819999"/>
    <x v="1"/>
    <n v="2.8496621985053299"/>
    <x v="3"/>
    <x v="0"/>
    <n v="787.77985049434403"/>
    <n v="867.57426319758304"/>
    <n v="7784.0984197844773"/>
    <n v="0.8997217884925176"/>
    <n v="17"/>
    <s v="OPTIMAL"/>
  </r>
  <r>
    <x v="0"/>
    <s v="SKU81"/>
    <n v="72.819206930318202"/>
    <n v="9"/>
    <x v="80"/>
    <n v="4384.4134000458598"/>
    <x v="2"/>
    <n v="48"/>
    <n v="6"/>
    <n v="8"/>
    <n v="5"/>
    <s v="Carrier B"/>
    <n v="4.0662775015120403"/>
    <x v="0"/>
    <x v="2"/>
    <n v="28"/>
    <n v="698"/>
    <n v="1"/>
    <n v="19.789592941903599"/>
    <x v="0"/>
    <n v="2.54754712154871"/>
    <x v="2"/>
    <x v="0"/>
    <n v="276.77833594679799"/>
    <n v="300.63420639021365"/>
    <n v="4083.7791936556459"/>
    <n v="0.93143114506787406"/>
    <n v="2"/>
    <s v="OPTIMAL"/>
  </r>
  <r>
    <x v="1"/>
    <s v="SKU82"/>
    <n v="17.034930739467899"/>
    <n v="13"/>
    <x v="12"/>
    <n v="2943.3818676094502"/>
    <x v="2"/>
    <n v="42"/>
    <n v="19"/>
    <n v="72"/>
    <n v="1"/>
    <s v="Carrier A"/>
    <n v="4.7081818735419301"/>
    <x v="4"/>
    <x v="0"/>
    <n v="6"/>
    <n v="955"/>
    <n v="26"/>
    <n v="4.4652784349432402"/>
    <x v="0"/>
    <n v="4.1378770486223502"/>
    <x v="0"/>
    <x v="1"/>
    <n v="589.97855562804"/>
    <n v="599.15201593652512"/>
    <n v="2344.2298516729252"/>
    <n v="0.79644095027902617"/>
    <n v="44"/>
    <s v="MEDIUM"/>
  </r>
  <r>
    <x v="0"/>
    <s v="SKU83"/>
    <n v="68.911246211606297"/>
    <n v="82"/>
    <x v="81"/>
    <n v="2411.7546321104901"/>
    <x v="2"/>
    <n v="65"/>
    <n v="24"/>
    <n v="7"/>
    <n v="8"/>
    <s v="Carrier B"/>
    <n v="4.94983957799694"/>
    <x v="1"/>
    <x v="3"/>
    <n v="20"/>
    <n v="443"/>
    <n v="5"/>
    <n v="97.730593800533001"/>
    <x v="1"/>
    <n v="0.77300613406724705"/>
    <x v="0"/>
    <x v="2"/>
    <n v="682.97101822609295"/>
    <n v="785.65145160462293"/>
    <n v="1626.1031805058672"/>
    <n v="0.67424072036834393"/>
    <n v="21"/>
    <s v="OPTIMAL"/>
  </r>
  <r>
    <x v="0"/>
    <s v="SKU84"/>
    <n v="89.104367292102197"/>
    <n v="99"/>
    <x v="82"/>
    <n v="2048.2900998487098"/>
    <x v="2"/>
    <n v="73"/>
    <n v="26"/>
    <n v="80"/>
    <n v="10"/>
    <s v="Carrier A"/>
    <n v="8.3816156249226292"/>
    <x v="2"/>
    <x v="4"/>
    <n v="24"/>
    <n v="589"/>
    <n v="22"/>
    <n v="33.808636513209002"/>
    <x v="2"/>
    <n v="4.8434565771180402"/>
    <x v="1"/>
    <x v="0"/>
    <n v="465.45700596368698"/>
    <n v="507.64725810181864"/>
    <n v="1540.6428417468912"/>
    <n v="0.7521604688030693"/>
    <n v="38"/>
    <s v="MEDIUM"/>
  </r>
  <r>
    <x v="2"/>
    <s v="SKU85"/>
    <n v="76.962994415193805"/>
    <n v="83"/>
    <x v="83"/>
    <n v="8684.6130592538502"/>
    <x v="1"/>
    <n v="15"/>
    <n v="18"/>
    <n v="66"/>
    <n v="2"/>
    <s v="Carrier C"/>
    <n v="8.2491687048717193"/>
    <x v="2"/>
    <x v="4"/>
    <n v="4"/>
    <n v="211"/>
    <n v="2"/>
    <n v="69.929345518672307"/>
    <x v="1"/>
    <n v="1.3744289997457499"/>
    <x v="0"/>
    <x v="0"/>
    <n v="842.68683000464102"/>
    <n v="920.86534422818499"/>
    <n v="7763.7477150256655"/>
    <n v="0.89396587528479909"/>
    <n v="18"/>
    <s v="OPTIMAL"/>
  </r>
  <r>
    <x v="1"/>
    <s v="SKU86"/>
    <n v="19.9981769404042"/>
    <n v="18"/>
    <x v="84"/>
    <n v="1229.59102856498"/>
    <x v="2"/>
    <n v="32"/>
    <n v="14"/>
    <n v="22"/>
    <n v="6"/>
    <s v="Carrier B"/>
    <n v="1.4543053101535499"/>
    <x v="1"/>
    <x v="0"/>
    <n v="4"/>
    <n v="569"/>
    <n v="18"/>
    <n v="74.608969995194599"/>
    <x v="2"/>
    <n v="2.0515129307662399"/>
    <x v="2"/>
    <x v="2"/>
    <n v="264.25488983586598"/>
    <n v="340.31816514121414"/>
    <n v="889.27286342376578"/>
    <n v="0.72322653855209917"/>
    <n v="26"/>
    <s v="OPTIMAL"/>
  </r>
  <r>
    <x v="0"/>
    <s v="SKU87"/>
    <n v="80.414036650355698"/>
    <n v="24"/>
    <x v="85"/>
    <n v="5133.8467010866898"/>
    <x v="3"/>
    <n v="5"/>
    <n v="7"/>
    <n v="55"/>
    <n v="10"/>
    <s v="Carrier A"/>
    <n v="6.5758037975485299"/>
    <x v="0"/>
    <x v="4"/>
    <n v="27"/>
    <n v="523"/>
    <n v="17"/>
    <n v="28.696996824143099"/>
    <x v="1"/>
    <n v="3.6937377878392699"/>
    <x v="3"/>
    <x v="0"/>
    <n v="879.35921773492396"/>
    <n v="914.63201835661562"/>
    <n v="4219.2146827300739"/>
    <n v="0.82184274840870997"/>
    <n v="14"/>
    <s v="OPTIMAL"/>
  </r>
  <r>
    <x v="2"/>
    <s v="SKU88"/>
    <n v="75.270406975724995"/>
    <n v="58"/>
    <x v="86"/>
    <n v="9444.7420330629793"/>
    <x v="3"/>
    <n v="60"/>
    <n v="18"/>
    <n v="85"/>
    <n v="7"/>
    <s v="Carrier A"/>
    <n v="3.8012531329310701"/>
    <x v="4"/>
    <x v="0"/>
    <n v="21"/>
    <n v="953"/>
    <n v="11"/>
    <n v="68.1849190570411"/>
    <x v="0"/>
    <n v="0.722204401882931"/>
    <x v="3"/>
    <x v="2"/>
    <n v="103.916247960704"/>
    <n v="175.90242015067616"/>
    <n v="9268.839612912303"/>
    <n v="0.98137562470897577"/>
    <n v="22"/>
    <s v="OPTIMAL"/>
  </r>
  <r>
    <x v="2"/>
    <s v="SKU89"/>
    <n v="97.760085581938597"/>
    <n v="10"/>
    <x v="63"/>
    <n v="5924.6825668532301"/>
    <x v="2"/>
    <n v="90"/>
    <n v="1"/>
    <n v="27"/>
    <n v="8"/>
    <s v="Carrier B"/>
    <n v="9.9298162452772498"/>
    <x v="1"/>
    <x v="1"/>
    <n v="23"/>
    <n v="370"/>
    <n v="11"/>
    <n v="46.603873381644398"/>
    <x v="0"/>
    <n v="1.9076657339590699"/>
    <x v="2"/>
    <x v="0"/>
    <n v="517.49997392906005"/>
    <n v="574.03366355598166"/>
    <n v="5350.6489032972486"/>
    <n v="0.90311149043367778"/>
    <n v="4"/>
    <s v="OPTIMAL"/>
  </r>
  <r>
    <x v="1"/>
    <s v="SKU90"/>
    <n v="13.881913501359101"/>
    <n v="56"/>
    <x v="20"/>
    <n v="9592.6335702803099"/>
    <x v="0"/>
    <n v="66"/>
    <n v="18"/>
    <n v="96"/>
    <n v="7"/>
    <s v="Carrier B"/>
    <n v="7.6744307081126903"/>
    <x v="0"/>
    <x v="3"/>
    <n v="8"/>
    <n v="585"/>
    <n v="8"/>
    <n v="85.675963335797903"/>
    <x v="2"/>
    <n v="1.2193822244013801"/>
    <x v="2"/>
    <x v="0"/>
    <n v="990.07847250581096"/>
    <n v="1083.4288665497215"/>
    <n v="8509.2047037305892"/>
    <n v="0.88705616047855962"/>
    <n v="19"/>
    <s v="OPTIMAL"/>
  </r>
  <r>
    <x v="2"/>
    <s v="SKU91"/>
    <n v="62.111965463961702"/>
    <n v="90"/>
    <x v="87"/>
    <n v="1935.20679350759"/>
    <x v="3"/>
    <n v="98"/>
    <n v="22"/>
    <n v="85"/>
    <n v="7"/>
    <s v="Carrier B"/>
    <n v="7.4715140844011403"/>
    <x v="3"/>
    <x v="2"/>
    <n v="5"/>
    <n v="207"/>
    <n v="28"/>
    <n v="39.772882502339897"/>
    <x v="0"/>
    <n v="0.62600185820939402"/>
    <x v="2"/>
    <x v="0"/>
    <n v="996.77831495062298"/>
    <n v="1044.0227115373641"/>
    <n v="891.18408197022586"/>
    <n v="0.46051103425228368"/>
    <n v="43"/>
    <s v="MEDIUM"/>
  </r>
  <r>
    <x v="2"/>
    <s v="SKU92"/>
    <n v="47.714233075820196"/>
    <n v="44"/>
    <x v="88"/>
    <n v="2100.1297546259302"/>
    <x v="3"/>
    <n v="90"/>
    <n v="25"/>
    <n v="10"/>
    <n v="8"/>
    <s v="Carrier B"/>
    <n v="4.4695000261236002"/>
    <x v="4"/>
    <x v="0"/>
    <n v="4"/>
    <n v="671"/>
    <n v="29"/>
    <n v="62.612690395614301"/>
    <x v="2"/>
    <n v="0.33343182522473902"/>
    <x v="2"/>
    <x v="0"/>
    <n v="230.092782536762"/>
    <n v="297.17497295849989"/>
    <n v="1802.9547816674303"/>
    <n v="0.85849685129982267"/>
    <n v="46"/>
    <s v="MEDIUM"/>
  </r>
  <r>
    <x v="0"/>
    <s v="SKU93"/>
    <n v="69.290831002905406"/>
    <n v="88"/>
    <x v="89"/>
    <n v="4531.4021336919004"/>
    <x v="2"/>
    <n v="63"/>
    <n v="17"/>
    <n v="66"/>
    <n v="1"/>
    <s v="Carrier C"/>
    <n v="7.00643205900439"/>
    <x v="3"/>
    <x v="4"/>
    <n v="21"/>
    <n v="824"/>
    <n v="20"/>
    <n v="35.633652343343797"/>
    <x v="1"/>
    <n v="4.1657817954241398"/>
    <x v="1"/>
    <x v="2"/>
    <n v="823.52384588815505"/>
    <n v="866.16393029050323"/>
    <n v="3665.2382034013972"/>
    <n v="0.80885299853429526"/>
    <n v="36"/>
    <s v="MEDIUM"/>
  </r>
  <r>
    <x v="2"/>
    <s v="SKU94"/>
    <n v="3.0376887246314102"/>
    <n v="97"/>
    <x v="90"/>
    <n v="7888.3565466618702"/>
    <x v="2"/>
    <n v="77"/>
    <n v="26"/>
    <n v="72"/>
    <n v="9"/>
    <s v="Carrier B"/>
    <n v="6.9429459420325799"/>
    <x v="4"/>
    <x v="2"/>
    <n v="12"/>
    <n v="908"/>
    <n v="14"/>
    <n v="60.387378614862101"/>
    <x v="2"/>
    <n v="1.4636074984727701"/>
    <x v="2"/>
    <x v="0"/>
    <n v="846.66525698669398"/>
    <n v="913.99558154358863"/>
    <n v="6974.3609651182815"/>
    <n v="0.88413358649079243"/>
    <n v="31"/>
    <s v="MEDIUM"/>
  </r>
  <r>
    <x v="0"/>
    <s v="SKU95"/>
    <n v="77.903927219447695"/>
    <n v="65"/>
    <x v="91"/>
    <n v="7386.3639440486604"/>
    <x v="2"/>
    <n v="15"/>
    <n v="14"/>
    <n v="26"/>
    <n v="9"/>
    <s v="Carrier B"/>
    <n v="8.6303388696027508"/>
    <x v="3"/>
    <x v="0"/>
    <n v="18"/>
    <n v="450"/>
    <n v="26"/>
    <n v="58.890685768589897"/>
    <x v="0"/>
    <n v="1.21088212958506"/>
    <x v="1"/>
    <x v="2"/>
    <n v="778.86424137664699"/>
    <n v="846.38526601483966"/>
    <n v="6539.9786780338209"/>
    <n v="0.88541246106661331"/>
    <n v="31"/>
    <s v="MEDIUM"/>
  </r>
  <r>
    <x v="2"/>
    <s v="SKU96"/>
    <n v="24.423131420373299"/>
    <n v="29"/>
    <x v="92"/>
    <n v="7698.4247656321104"/>
    <x v="0"/>
    <n v="67"/>
    <n v="2"/>
    <n v="32"/>
    <n v="3"/>
    <s v="Carrier C"/>
    <n v="5.3528780439967996"/>
    <x v="0"/>
    <x v="0"/>
    <n v="28"/>
    <n v="648"/>
    <n v="28"/>
    <n v="17.803756331391199"/>
    <x v="0"/>
    <n v="3.8720476814821301"/>
    <x v="0"/>
    <x v="2"/>
    <n v="188.74214114905601"/>
    <n v="211.89877552444401"/>
    <n v="7486.5259901076661"/>
    <n v="0.9724750475616234"/>
    <n v="27"/>
    <s v="OPTIMAL"/>
  </r>
  <r>
    <x v="0"/>
    <s v="SKU97"/>
    <n v="3.5261112591434101"/>
    <n v="56"/>
    <x v="93"/>
    <n v="4370.9165799845296"/>
    <x v="3"/>
    <n v="46"/>
    <n v="19"/>
    <n v="4"/>
    <n v="9"/>
    <s v="Carrier A"/>
    <n v="7.9048456112096703"/>
    <x v="3"/>
    <x v="0"/>
    <n v="10"/>
    <n v="535"/>
    <n v="13"/>
    <n v="65.765155926367399"/>
    <x v="1"/>
    <n v="3.3762378347179798"/>
    <x v="0"/>
    <x v="2"/>
    <n v="540.13242286796697"/>
    <n v="613.802424405544"/>
    <n v="3757.1141555789854"/>
    <n v="0.85957123336183261"/>
    <n v="23"/>
    <s v="OPTIMAL"/>
  </r>
  <r>
    <x v="1"/>
    <s v="SKU98"/>
    <n v="19.754604866878601"/>
    <n v="43"/>
    <x v="94"/>
    <n v="8525.9525596835192"/>
    <x v="1"/>
    <n v="53"/>
    <n v="1"/>
    <n v="27"/>
    <n v="7"/>
    <s v="Carrier B"/>
    <n v="1.4098010951380699"/>
    <x v="2"/>
    <x v="4"/>
    <n v="28"/>
    <n v="581"/>
    <n v="9"/>
    <n v="5.6046908643717801"/>
    <x v="0"/>
    <n v="2.9081221693512598"/>
    <x v="2"/>
    <x v="2"/>
    <n v="882.19886354704101"/>
    <n v="889.2133555065509"/>
    <n v="7636.7392041769681"/>
    <n v="0.89570510165499229"/>
    <n v="3"/>
    <s v="OPTIMAL"/>
  </r>
  <r>
    <x v="0"/>
    <s v="SKU99"/>
    <n v="68.517832699276596"/>
    <n v="17"/>
    <x v="95"/>
    <n v="9185.1858291817007"/>
    <x v="2"/>
    <n v="55"/>
    <n v="8"/>
    <n v="59"/>
    <n v="6"/>
    <s v="Carrier B"/>
    <n v="1.3110237561206199"/>
    <x v="4"/>
    <x v="4"/>
    <n v="29"/>
    <n v="921"/>
    <n v="2"/>
    <n v="38.072898520625998"/>
    <x v="1"/>
    <n v="0.34602729070550298"/>
    <x v="2"/>
    <x v="0"/>
    <n v="210.743008964246"/>
    <n v="250.12693124099263"/>
    <n v="8935.0588979407075"/>
    <n v="0.97276844084674585"/>
    <n v="4"/>
    <s v="OPTIM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A918CF-CF45-4872-8B64-50454ECE492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K2:M7" firstHeaderRow="0" firstDataRow="1" firstDataCol="1"/>
  <pivotFields count="29">
    <pivotField showAll="0">
      <items count="4">
        <item x="2"/>
        <item x="0"/>
        <item x="1"/>
        <item t="default"/>
      </items>
    </pivotField>
    <pivotField showAll="0"/>
    <pivotField showAll="0"/>
    <pivotField showAll="0"/>
    <pivotField showAll="0"/>
    <pivotField showAll="0"/>
    <pivotField showAll="0">
      <items count="5">
        <item x="1"/>
        <item x="3"/>
        <item x="0"/>
        <item x="2"/>
        <item t="default"/>
      </items>
    </pivotField>
    <pivotField showAll="0"/>
    <pivotField showAll="0"/>
    <pivotField showAll="0"/>
    <pivotField dataField="1" showAll="0"/>
    <pivotField showAll="0"/>
    <pivotField dataField="1" numFmtId="164" showAll="0"/>
    <pivotField showAll="0"/>
    <pivotField showAll="0">
      <items count="6">
        <item x="3"/>
        <item x="4"/>
        <item x="2"/>
        <item x="1"/>
        <item x="0"/>
        <item t="default"/>
      </items>
    </pivotField>
    <pivotField showAll="0"/>
    <pivotField showAll="0"/>
    <pivotField showAll="0"/>
    <pivotField numFmtId="164" showAll="0"/>
    <pivotField showAll="0">
      <items count="4">
        <item x="1"/>
        <item x="2"/>
        <item x="0"/>
        <item t="default"/>
      </items>
    </pivotField>
    <pivotField showAll="0"/>
    <pivotField axis="axisRow" showAll="0">
      <items count="5">
        <item x="1"/>
        <item x="2"/>
        <item x="0"/>
        <item x="3"/>
        <item t="default"/>
      </items>
    </pivotField>
    <pivotField showAll="0"/>
    <pivotField numFmtId="164" showAll="0"/>
    <pivotField numFmtId="164" showAll="0"/>
    <pivotField numFmtId="164" showAll="0"/>
    <pivotField numFmtId="10" showAll="0"/>
    <pivotField showAll="0"/>
    <pivotField showAll="0"/>
  </pivotFields>
  <rowFields count="1">
    <field x="21"/>
  </rowFields>
  <rowItems count="5">
    <i>
      <x/>
    </i>
    <i>
      <x v="1"/>
    </i>
    <i>
      <x v="2"/>
    </i>
    <i>
      <x v="3"/>
    </i>
    <i t="grand">
      <x/>
    </i>
  </rowItems>
  <colFields count="1">
    <field x="-2"/>
  </colFields>
  <colItems count="2">
    <i>
      <x/>
    </i>
    <i i="1">
      <x v="1"/>
    </i>
  </colItems>
  <dataFields count="2">
    <dataField name="Average of Shipping costs" fld="12" subtotal="average" baseField="21" baseItem="0" numFmtId="164"/>
    <dataField name="Sum of Shipping times" fld="10" baseField="21" baseItem="0" numFmtId="2"/>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2BABA9-E60C-4E67-A28D-A4B54A41E49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F3:H7" firstHeaderRow="0" firstDataRow="1" firstDataCol="1"/>
  <pivotFields count="29">
    <pivotField axis="axisRow" showAll="0" sortType="descending">
      <items count="4">
        <item x="2"/>
        <item x="0"/>
        <item x="1"/>
        <item t="default"/>
      </items>
      <autoSortScope>
        <pivotArea dataOnly="0" outline="0" fieldPosition="0">
          <references count="1">
            <reference field="4294967294" count="1" selected="0">
              <x v="1"/>
            </reference>
          </references>
        </pivotArea>
      </autoSortScope>
    </pivotField>
    <pivotField showAll="0"/>
    <pivotField showAll="0"/>
    <pivotField showAll="0"/>
    <pivotField dataField="1" showAll="0"/>
    <pivotField dataField="1" showAll="0"/>
    <pivotField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showAll="0"/>
    <pivotField numFmtId="164" showAll="0"/>
    <pivotField showAll="0">
      <items count="4">
        <item x="1"/>
        <item x="2"/>
        <item x="0"/>
        <item t="default"/>
      </items>
    </pivotField>
    <pivotField showAll="0"/>
    <pivotField showAll="0"/>
    <pivotField showAll="0"/>
    <pivotField numFmtId="164" showAll="0"/>
    <pivotField numFmtId="164" showAll="0"/>
    <pivotField numFmtId="164" showAll="0"/>
    <pivotField numFmtId="10" showAll="0"/>
    <pivotField showAll="0"/>
    <pivotField showAll="0"/>
  </pivotFields>
  <rowFields count="1">
    <field x="0"/>
  </rowFields>
  <rowItems count="4">
    <i>
      <x v="2"/>
    </i>
    <i>
      <x v="1"/>
    </i>
    <i>
      <x/>
    </i>
    <i t="grand">
      <x/>
    </i>
  </rowItems>
  <colFields count="1">
    <field x="-2"/>
  </colFields>
  <colItems count="2">
    <i>
      <x/>
    </i>
    <i i="1">
      <x v="1"/>
    </i>
  </colItems>
  <dataFields count="2">
    <dataField name="Sum of Number of products sold" fld="4" baseField="0" baseItem="0"/>
    <dataField name="Sum of Revenue Generated" fld="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C0700D5-6B21-4CDE-AD69-5B559392203D}"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O2:S8" firstHeaderRow="0" firstDataRow="1" firstDataCol="1"/>
  <pivotFields count="5">
    <pivotField dataField="1" subtotalTop="0" showAll="0" defaultSubtotal="0"/>
    <pivotField dataField="1" subtotalTop="0" showAll="0" defaultSubtotal="0"/>
    <pivotField dataField="1" subtotalTop="0" showAll="0" defaultSubtotal="0"/>
    <pivotField axis="axisRow" allDrilled="1" showAll="0" dataSourceSort="1" defaultAttributeDrillState="1">
      <items count="6">
        <item x="0"/>
        <item x="1"/>
        <item x="2"/>
        <item x="3"/>
        <item x="4"/>
        <item t="default"/>
      </items>
    </pivotField>
    <pivotField dataField="1" subtotalTop="0" showAll="0" defaultSubtotal="0"/>
  </pivotFields>
  <rowFields count="1">
    <field x="3"/>
  </rowFields>
  <rowItems count="6">
    <i>
      <x/>
    </i>
    <i>
      <x v="1"/>
    </i>
    <i>
      <x v="2"/>
    </i>
    <i>
      <x v="3"/>
    </i>
    <i>
      <x v="4"/>
    </i>
    <i t="grand">
      <x/>
    </i>
  </rowItems>
  <colFields count="1">
    <field x="-2"/>
  </colFields>
  <colItems count="4">
    <i>
      <x/>
    </i>
    <i i="1">
      <x v="1"/>
    </i>
    <i i="2">
      <x v="2"/>
    </i>
    <i i="3">
      <x v="3"/>
    </i>
  </colItems>
  <dataFields count="4">
    <dataField name="Average of Defect rates" fld="0" subtotal="average" baseField="0" baseItem="0"/>
    <dataField name="Average of Manufacturing costs" fld="1" subtotal="average" baseField="0" baseItem="0"/>
    <dataField name="Count of SKU" fld="2" subtotal="count" baseField="3" baseItem="0"/>
    <dataField name="2% Defect Rate" fld="4" baseField="3"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7" format="10" series="1">
      <pivotArea type="data" outline="0" fieldPosition="0">
        <references count="1">
          <reference field="4294967294" count="1" selected="0">
            <x v="2"/>
          </reference>
        </references>
      </pivotArea>
    </chartFormat>
    <chartFormat chart="7" format="11" series="1">
      <pivotArea type="data" outline="0" fieldPosition="0">
        <references count="1">
          <reference field="4294967294" count="1" selected="0">
            <x v="3"/>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2% Defect Rate"/>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upply_chain_data.csv.xlsx!tbl_SupplyChaim">
        <x15:activeTabTopLevelEntity name="[tbl_SupplyChai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F599B1-73F7-424A-832C-024423F9ECE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29">
    <pivotField showAll="0">
      <items count="4">
        <item x="2"/>
        <item x="0"/>
        <item x="1"/>
        <item t="default"/>
      </items>
    </pivotField>
    <pivotField showAll="0"/>
    <pivotField showAll="0"/>
    <pivotField showAll="0"/>
    <pivotField dataField="1" showAll="0">
      <items count="97">
        <item x="2"/>
        <item x="44"/>
        <item x="83"/>
        <item x="47"/>
        <item x="69"/>
        <item x="93"/>
        <item x="6"/>
        <item x="85"/>
        <item x="3"/>
        <item x="55"/>
        <item x="48"/>
        <item x="74"/>
        <item x="89"/>
        <item x="60"/>
        <item x="17"/>
        <item x="63"/>
        <item x="25"/>
        <item x="5"/>
        <item x="8"/>
        <item x="50"/>
        <item x="41"/>
        <item x="67"/>
        <item x="31"/>
        <item x="38"/>
        <item x="19"/>
        <item x="78"/>
        <item x="24"/>
        <item x="84"/>
        <item x="56"/>
        <item x="75"/>
        <item x="52"/>
        <item x="62"/>
        <item x="13"/>
        <item x="29"/>
        <item x="61"/>
        <item x="88"/>
        <item x="16"/>
        <item x="20"/>
        <item x="92"/>
        <item x="30"/>
        <item x="12"/>
        <item x="27"/>
        <item x="26"/>
        <item x="76"/>
        <item x="72"/>
        <item x="59"/>
        <item x="23"/>
        <item x="28"/>
        <item x="7"/>
        <item x="35"/>
        <item x="64"/>
        <item x="15"/>
        <item x="71"/>
        <item x="58"/>
        <item x="68"/>
        <item x="66"/>
        <item x="40"/>
        <item x="14"/>
        <item x="42"/>
        <item x="21"/>
        <item x="34"/>
        <item x="33"/>
        <item x="82"/>
        <item x="18"/>
        <item x="53"/>
        <item x="95"/>
        <item x="49"/>
        <item x="70"/>
        <item x="81"/>
        <item x="91"/>
        <item x="54"/>
        <item x="65"/>
        <item x="37"/>
        <item x="1"/>
        <item x="86"/>
        <item x="80"/>
        <item x="32"/>
        <item x="0"/>
        <item x="51"/>
        <item x="45"/>
        <item x="4"/>
        <item x="79"/>
        <item x="22"/>
        <item x="57"/>
        <item x="73"/>
        <item x="46"/>
        <item x="94"/>
        <item x="87"/>
        <item x="43"/>
        <item x="39"/>
        <item x="77"/>
        <item x="11"/>
        <item x="36"/>
        <item x="9"/>
        <item x="90"/>
        <item x="10"/>
        <item t="default"/>
      </items>
    </pivotField>
    <pivotField dataField="1" showAll="0"/>
    <pivotField showAll="0">
      <items count="5">
        <item x="1"/>
        <item x="3"/>
        <item x="0"/>
        <item x="2"/>
        <item t="default"/>
      </items>
    </pivotField>
    <pivotField showAll="0"/>
    <pivotField showAll="0"/>
    <pivotField showAll="0"/>
    <pivotField showAll="0"/>
    <pivotField showAll="0"/>
    <pivotField numFmtId="164" showAll="0"/>
    <pivotField showAll="0"/>
    <pivotField showAll="0">
      <items count="6">
        <item x="3"/>
        <item x="4"/>
        <item x="2"/>
        <item x="1"/>
        <item x="0"/>
        <item t="default"/>
      </items>
    </pivotField>
    <pivotField showAll="0"/>
    <pivotField showAll="0"/>
    <pivotField dataField="1" showAll="0"/>
    <pivotField numFmtId="164" showAll="0"/>
    <pivotField showAll="0">
      <items count="4">
        <item x="1"/>
        <item x="2"/>
        <item x="0"/>
        <item t="default"/>
      </items>
    </pivotField>
    <pivotField dataField="1" showAll="0"/>
    <pivotField showAll="0"/>
    <pivotField showAll="0"/>
    <pivotField numFmtId="164" showAll="0"/>
    <pivotField numFmtId="164" showAll="0"/>
    <pivotField numFmtId="164" showAll="0"/>
    <pivotField numFmtId="10" showAll="0"/>
    <pivotField showAll="0"/>
    <pivotField showAll="0"/>
  </pivotFields>
  <rowItems count="1">
    <i/>
  </rowItems>
  <colFields count="1">
    <field x="-2"/>
  </colFields>
  <colItems count="4">
    <i>
      <x/>
    </i>
    <i i="1">
      <x v="1"/>
    </i>
    <i i="2">
      <x v="2"/>
    </i>
    <i i="3">
      <x v="3"/>
    </i>
  </colItems>
  <dataFields count="4">
    <dataField name="Sum of Revenue Generated" fld="5" baseField="0" baseItem="1" numFmtId="164"/>
    <dataField name="Sum of Number of products sold" fld="4" baseField="0" baseItem="1" numFmtId="1"/>
    <dataField name="Average of Defect rates" fld="20" subtotal="average" baseField="0" baseItem="2" numFmtId="166"/>
    <dataField name="Average of Manufactuing Lead Time" fld="17" subtotal="average" baseField="0" baseItem="3" numFmtId="165"/>
  </dataFields>
  <formats count="5">
    <format dxfId="6">
      <pivotArea outline="0" collapsedLevelsAreSubtotals="1" fieldPosition="0">
        <references count="1">
          <reference field="4294967294" count="1" selected="0">
            <x v="2"/>
          </reference>
        </references>
      </pivotArea>
    </format>
    <format dxfId="5">
      <pivotArea outline="0" fieldPosition="0">
        <references count="1">
          <reference field="4294967294" count="1">
            <x v="3"/>
          </reference>
        </references>
      </pivotArea>
    </format>
    <format dxfId="4">
      <pivotArea outline="0" fieldPosition="0">
        <references count="1">
          <reference field="4294967294" count="1">
            <x v="2"/>
          </reference>
        </references>
      </pivotArea>
    </format>
    <format dxfId="3">
      <pivotArea outline="0" fieldPosition="0">
        <references count="1">
          <reference field="4294967294" count="1">
            <x v="0"/>
          </reference>
        </references>
      </pivotArea>
    </format>
    <format dxfId="2">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298B134-E78D-4E10-98A5-6CDBC5B02B46}"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U2:W22" firstHeaderRow="0" firstDataRow="1" firstDataCol="1"/>
  <pivotFields count="29">
    <pivotField showAll="0" defaultSubtotal="0">
      <items count="3">
        <item x="2"/>
        <item x="0"/>
        <item x="1"/>
      </items>
    </pivotField>
    <pivotField showAll="0" defaultSubtotal="0"/>
    <pivotField showAll="0" defaultSubtotal="0"/>
    <pivotField showAll="0" defaultSubtotal="0"/>
    <pivotField showAll="0" defaultSubtotal="0"/>
    <pivotField showAll="0" defaultSubtotal="0"/>
    <pivotField showAll="0" defaultSubtotal="0">
      <items count="4">
        <item x="1"/>
        <item x="3"/>
        <item x="0"/>
        <item x="2"/>
      </items>
    </pivotField>
    <pivotField showAll="0" defaultSubtotal="0"/>
    <pivotField showAll="0" defaultSubtotal="0"/>
    <pivotField dataField="1" showAll="0" defaultSubtotal="0"/>
    <pivotField showAll="0" defaultSubtotal="0"/>
    <pivotField showAll="0" defaultSubtotal="0"/>
    <pivotField numFmtId="164" showAll="0" defaultSubtotal="0"/>
    <pivotField showAll="0" defaultSubtotal="0"/>
    <pivotField axis="axisRow" showAll="0" defaultSubtotal="0">
      <items count="5">
        <item x="3"/>
        <item x="4"/>
        <item x="2"/>
        <item x="1"/>
        <item x="0"/>
      </items>
    </pivotField>
    <pivotField showAll="0" defaultSubtotal="0"/>
    <pivotField showAll="0" defaultSubtotal="0"/>
    <pivotField showAll="0" defaultSubtotal="0"/>
    <pivotField numFmtId="164" showAll="0" defaultSubtotal="0"/>
    <pivotField showAll="0" defaultSubtotal="0">
      <items count="3">
        <item x="1"/>
        <item x="2"/>
        <item x="0"/>
      </items>
    </pivotField>
    <pivotField showAll="0" defaultSubtotal="0"/>
    <pivotField showAll="0" defaultSubtotal="0"/>
    <pivotField axis="axisRow" showAll="0" defaultSubtotal="0">
      <items count="3">
        <item x="2"/>
        <item x="0"/>
        <item x="1"/>
      </items>
    </pivotField>
    <pivotField dataField="1" numFmtId="164" showAll="0" defaultSubtotal="0"/>
    <pivotField numFmtId="164" showAll="0" defaultSubtotal="0"/>
    <pivotField numFmtId="164" showAll="0" defaultSubtotal="0"/>
    <pivotField numFmtId="10" showAll="0" defaultSubtotal="0"/>
    <pivotField showAll="0" defaultSubtotal="0"/>
    <pivotField showAll="0" defaultSubtotal="0"/>
  </pivotFields>
  <rowFields count="2">
    <field x="14"/>
    <field x="22"/>
  </rowFields>
  <rowItems count="20">
    <i>
      <x/>
    </i>
    <i r="1">
      <x/>
    </i>
    <i r="1">
      <x v="1"/>
    </i>
    <i r="1">
      <x v="2"/>
    </i>
    <i>
      <x v="1"/>
    </i>
    <i r="1">
      <x/>
    </i>
    <i r="1">
      <x v="1"/>
    </i>
    <i r="1">
      <x v="2"/>
    </i>
    <i>
      <x v="2"/>
    </i>
    <i r="1">
      <x/>
    </i>
    <i r="1">
      <x v="1"/>
    </i>
    <i r="1">
      <x v="2"/>
    </i>
    <i>
      <x v="3"/>
    </i>
    <i r="1">
      <x/>
    </i>
    <i r="1">
      <x v="1"/>
    </i>
    <i r="1">
      <x v="2"/>
    </i>
    <i>
      <x v="4"/>
    </i>
    <i r="1">
      <x/>
    </i>
    <i r="1">
      <x v="1"/>
    </i>
    <i r="1">
      <x v="2"/>
    </i>
  </rowItems>
  <colFields count="1">
    <field x="-2"/>
  </colFields>
  <colItems count="2">
    <i>
      <x/>
    </i>
    <i i="1">
      <x v="1"/>
    </i>
  </colItems>
  <dataFields count="2">
    <dataField name="Sum of Costs" fld="23" baseField="0" baseItem="0" numFmtId="164"/>
    <dataField name="Sum of Order quantities" fld="9"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type" xr10:uid="{E5A5FE6A-96F5-472C-A1D5-41DE0BAB68FD}" sourceName="Product type">
  <pivotTables>
    <pivotTable tabId="3" name="PivotTable3"/>
    <pivotTable tabId="3" name="PivotTable2"/>
    <pivotTable tabId="3" name="PivotTable4"/>
    <pivotTable tabId="3" name="PivotTable6"/>
  </pivotTables>
  <data>
    <tabular pivotCacheId="225730253">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demographics" xr10:uid="{EB62B23A-5205-4F8F-B2C4-6E2F48265A78}" sourceName="Customer demographics">
  <pivotTables>
    <pivotTable tabId="3" name="PivotTable3"/>
    <pivotTable tabId="3" name="PivotTable2"/>
    <pivotTable tabId="3" name="PivotTable4"/>
    <pivotTable tabId="3" name="PivotTable6"/>
  </pivotTables>
  <data>
    <tabular pivotCacheId="225730253">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4F131A93-FB39-4766-B5CB-66EEA9F93EB9}" sourceName="Location">
  <pivotTables>
    <pivotTable tabId="3" name="PivotTable3"/>
    <pivotTable tabId="3" name="PivotTable2"/>
    <pivotTable tabId="3" name="PivotTable4"/>
    <pivotTable tabId="3" name="PivotTable6"/>
  </pivotTables>
  <data>
    <tabular pivotCacheId="225730253">
      <items count="5">
        <i x="3" s="1"/>
        <i x="4"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spection_results" xr10:uid="{87740E1B-33B1-4123-90AD-748FC616E8B8}" sourceName="Inspection results">
  <pivotTables>
    <pivotTable tabId="3" name="PivotTable3"/>
    <pivotTable tabId="3" name="PivotTable2"/>
    <pivotTable tabId="3" name="PivotTable4"/>
    <pivotTable tabId="3" name="PivotTable6"/>
  </pivotTables>
  <data>
    <tabular pivotCacheId="225730253">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1" xr10:uid="{D6E8BC5E-2462-43BB-9361-AAAE97BD7A78}" cache="Slicer_Product_type" caption="Product type" rowHeight="241300"/>
  <slicer name="Customer demographics 1" xr10:uid="{0C6FFD56-BB84-481F-AAA7-F2B1F2BCEE54}" cache="Slicer_Customer_demographics" caption="Customer demographics" rowHeight="241300"/>
  <slicer name="Location 1" xr10:uid="{A9CEB231-676F-4CAD-BC4E-6E792B42FEF2}" cache="Slicer_Location" caption="Location" rowHeight="241300"/>
  <slicer name="Inspection results 1" xr10:uid="{14400561-2649-4D29-BEC9-67A4DE84AE18}" cache="Slicer_Inspection_results" caption="Inspection result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type" xr10:uid="{3DFC378B-CB5B-4F6C-B166-3A91C173A41B}" cache="Slicer_Product_type" caption="Product type" rowHeight="241300"/>
  <slicer name="Customer demographics" xr10:uid="{7DA875F6-4B87-4397-9254-5A4706C74DF5}" cache="Slicer_Customer_demographics" caption="Customer demographics" rowHeight="241300"/>
  <slicer name="Location" xr10:uid="{8253684F-CDB2-466D-9D8B-1800E1D09599}" cache="Slicer_Location" caption="Location" rowHeight="241300"/>
  <slicer name="Inspection results" xr10:uid="{E0D1FE8D-8342-4E5E-ABD4-6152A013554A}" cache="Slicer_Inspection_results" caption="Inspection result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9A10BC6-85F0-43E5-88F3-21F5E1524D68}" name="tbl_SupplyChaim" displayName="tbl_SupplyChaim" ref="A1:AD101" totalsRowShown="0" headerRowDxfId="36" dataDxfId="35">
  <autoFilter ref="A1:AD101" xr:uid="{89A10BC6-85F0-43E5-88F3-21F5E1524D68}"/>
  <tableColumns count="30">
    <tableColumn id="1" xr3:uid="{673F5007-65A8-42BD-A176-D3F93A418EF7}" name="Product type" dataDxfId="34"/>
    <tableColumn id="2" xr3:uid="{C3EAD490-B3F2-4984-800C-A478DC986055}" name="SKU" dataDxfId="33"/>
    <tableColumn id="3" xr3:uid="{C862A98C-1E04-4AE3-8156-C83662B20484}" name="Price" dataDxfId="32"/>
    <tableColumn id="4" xr3:uid="{F01E7B4A-11F9-4371-8A22-D9AD9DE4C914}" name="Availability" dataDxfId="31"/>
    <tableColumn id="5" xr3:uid="{94FB5DC9-A44C-41EB-9D9F-9FDC240E5F37}" name="Number of products sold" dataDxfId="30"/>
    <tableColumn id="6" xr3:uid="{05A45DF7-9DEB-471C-8FEA-3287276A81D6}" name="Revenue Generated" dataDxfId="29"/>
    <tableColumn id="7" xr3:uid="{4BF987E2-70B8-4790-9F5A-094A6F633756}" name="Customer demographics" dataDxfId="28"/>
    <tableColumn id="8" xr3:uid="{C843FF30-3081-4A59-AF71-96865ECAC92F}" name="Stock levels" dataDxfId="27"/>
    <tableColumn id="9" xr3:uid="{46AF17CC-F63C-419B-8AE3-985799FC0FF1}" name="Lead times" dataDxfId="26"/>
    <tableColumn id="10" xr3:uid="{BFFD41DF-3B4E-4B5D-9FF1-414C6D84021A}" name="Order quantities" dataDxfId="25"/>
    <tableColumn id="11" xr3:uid="{3849FF38-CF94-4CA2-AF9D-B0D4CAC457BD}" name="Shipping times" dataDxfId="24"/>
    <tableColumn id="12" xr3:uid="{8B29A014-2756-4ABB-84A3-C7079EB08868}" name="Shipping carriers" dataDxfId="23"/>
    <tableColumn id="13" xr3:uid="{6711B30F-C32F-4C96-8E46-11A8A7499AFD}" name="Shipping costs" dataDxfId="22"/>
    <tableColumn id="14" xr3:uid="{24A4260C-C255-4C27-97A7-95A80B30A5CA}" name="Supplier name" dataDxfId="21"/>
    <tableColumn id="15" xr3:uid="{3EB63B82-5F5F-45CF-9A0D-EE8660FD8CA4}" name="Location" dataDxfId="20"/>
    <tableColumn id="16" xr3:uid="{ED310BAE-8109-4D25-B0AA-1AE20C20370B}" name="Order Lead Time" dataDxfId="19"/>
    <tableColumn id="17" xr3:uid="{63CDF937-6CEE-43F9-9CC1-D2CC0D248BAC}" name="Production volumes" dataDxfId="18"/>
    <tableColumn id="18" xr3:uid="{D1C37D7E-E56C-4FC2-8132-B8F3F8818088}" name="Manufactuing Lead Time" dataDxfId="17"/>
    <tableColumn id="19" xr3:uid="{5FB3FCE8-ADED-4100-8A9F-79100981E5E0}" name="Manufacturing costs" dataDxfId="16"/>
    <tableColumn id="20" xr3:uid="{2433B819-416E-426D-B1CC-BB8C4421BDC9}" name="Inspection results" dataDxfId="15"/>
    <tableColumn id="21" xr3:uid="{CBD53C0B-7C51-4418-A81A-1AB5F476EF6D}" name="Defect rates" dataDxfId="14"/>
    <tableColumn id="22" xr3:uid="{7C503EED-8B46-4DE0-8C36-C7BE415ABBED}" name="Transportation modes" dataDxfId="13"/>
    <tableColumn id="23" xr3:uid="{C0AE7E7F-54FC-487F-AC3F-F965447176C1}" name="Routes" dataDxfId="12"/>
    <tableColumn id="24" xr3:uid="{928FC65E-1D3D-4A5E-AFAA-2202BE90004F}" name="Costs" dataDxfId="11"/>
    <tableColumn id="25" xr3:uid="{675E1BC7-E298-4B11-9B1F-BD856BC1873E}" name="Total_Cost" dataDxfId="10">
      <calculatedColumnFormula>tbl_SupplyChaim[Shipping costs]+tbl_SupplyChaim[Manufacturing costs]+tbl_SupplyChaim[Costs]</calculatedColumnFormula>
    </tableColumn>
    <tableColumn id="26" xr3:uid="{0483D869-CCC8-451B-BA12-21E2997CC7CC}" name="Grpss_Profit" dataDxfId="9">
      <calculatedColumnFormula>tbl_SupplyChaim[Revenue Generated]-tbl_SupplyChaim[Total_Cost]</calculatedColumnFormula>
    </tableColumn>
    <tableColumn id="27" xr3:uid="{C1D697CE-8326-4C95-AC9C-D6A94BAC80C5}" name="Gross_Margin" dataDxfId="1">
      <calculatedColumnFormula>IFERROR(tbl_SupplyChaim[[#This Row],[Revenue Generated]]-(tbl_SupplyChaim[[#This Row],[Total_Cost]]/tbl_SupplyChaim[Revenue Generated]),0)</calculatedColumnFormula>
    </tableColumn>
    <tableColumn id="28" xr3:uid="{B2C0BD4E-CE3E-4A11-A7A4-EFEFF7C31A06}" name="Total Lead Time" dataDxfId="0">
      <calculatedColumnFormula>tbl_SupplyChaim[Manufactuing Lead Time]+tbl_SupplyChaim[Shipping times]+tbl_SupplyChaim[Lead times]</calculatedColumnFormula>
    </tableColumn>
    <tableColumn id="29" xr3:uid="{B5E668BF-3997-45EA-A83A-746EA075A807}" name="Cycle_Risk_Tier" dataDxfId="8">
      <calculatedColumnFormula>_xlfn.IFS(tbl_SupplyChaim[[#This Row],[Total Lead Time]]&gt;50,"HIGH RISK TIME",tbl_SupplyChaim[[#This Row],[Total Lead Time]]&gt;30,"MEDIUM","TRUE","OPTIMAL")</calculatedColumnFormula>
    </tableColumn>
    <tableColumn id="30" xr3:uid="{C7D665D8-ACD6-47E2-B20D-51140A8AE3A1}" name="Benchmark"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3542-08F1-4A74-BE66-7679D3459DC8}">
  <dimension ref="A1:AD101"/>
  <sheetViews>
    <sheetView topLeftCell="S74" zoomScale="73" zoomScaleNormal="73" workbookViewId="0">
      <selection activeCell="U9" sqref="U9:V17"/>
    </sheetView>
  </sheetViews>
  <sheetFormatPr defaultRowHeight="15" x14ac:dyDescent="0.25"/>
  <cols>
    <col min="1" max="1" width="19.7109375" bestFit="1" customWidth="1"/>
    <col min="3" max="3" width="14.28515625" bestFit="1" customWidth="1"/>
    <col min="4" max="4" width="17" bestFit="1" customWidth="1"/>
    <col min="5" max="5" width="25" customWidth="1"/>
    <col min="6" max="6" width="28.85546875" bestFit="1" customWidth="1"/>
    <col min="7" max="7" width="24.5703125" customWidth="1"/>
    <col min="8" max="8" width="19.28515625" bestFit="1" customWidth="1"/>
    <col min="9" max="9" width="16.7109375" bestFit="1" customWidth="1"/>
    <col min="10" max="10" width="17.7109375" customWidth="1"/>
    <col min="11" max="11" width="21.7109375" bestFit="1" customWidth="1"/>
    <col min="12" max="12" width="24.140625" bestFit="1" customWidth="1"/>
    <col min="13" max="13" width="21.42578125" style="1" bestFit="1" customWidth="1"/>
    <col min="14" max="14" width="21.28515625" bestFit="1" customWidth="1"/>
    <col min="15" max="15" width="14.42578125" bestFit="1" customWidth="1"/>
    <col min="16" max="16" width="23.5703125" bestFit="1" customWidth="1"/>
    <col min="17" max="17" width="28.140625" bestFit="1" customWidth="1"/>
    <col min="18" max="18" width="33.5703125" customWidth="1"/>
    <col min="19" max="19" width="28.85546875" style="1" bestFit="1" customWidth="1"/>
    <col min="20" max="20" width="25.5703125" bestFit="1" customWidth="1"/>
    <col min="21" max="21" width="18.28515625" bestFit="1" customWidth="1"/>
    <col min="22" max="22" width="31" bestFit="1" customWidth="1"/>
    <col min="23" max="23" width="12.7109375" bestFit="1" customWidth="1"/>
    <col min="24" max="24" width="10.7109375" style="1" bestFit="1" customWidth="1"/>
    <col min="25" max="25" width="16.7109375" customWidth="1"/>
    <col min="26" max="26" width="19" bestFit="1" customWidth="1"/>
    <col min="27" max="27" width="20.85546875" style="2" bestFit="1" customWidth="1"/>
    <col min="28" max="28" width="22.7109375" bestFit="1" customWidth="1"/>
    <col min="29" max="29" width="22.28515625" bestFit="1" customWidth="1"/>
    <col min="30" max="30" width="17.5703125" bestFit="1" customWidth="1"/>
  </cols>
  <sheetData>
    <row r="1" spans="1:30" s="12" customFormat="1" ht="32.25" customHeight="1" x14ac:dyDescent="0.3">
      <c r="A1" s="12" t="s">
        <v>0</v>
      </c>
      <c r="B1" s="12" t="s">
        <v>1</v>
      </c>
      <c r="C1" s="12" t="s">
        <v>2</v>
      </c>
      <c r="D1" s="12" t="s">
        <v>3</v>
      </c>
      <c r="E1" s="12" t="s">
        <v>4</v>
      </c>
      <c r="F1" s="12" t="s">
        <v>154</v>
      </c>
      <c r="G1" s="12" t="s">
        <v>5</v>
      </c>
      <c r="H1" s="12" t="s">
        <v>6</v>
      </c>
      <c r="I1" s="12" t="s">
        <v>7</v>
      </c>
      <c r="J1" s="12" t="s">
        <v>8</v>
      </c>
      <c r="K1" s="12" t="s">
        <v>9</v>
      </c>
      <c r="L1" s="12" t="s">
        <v>10</v>
      </c>
      <c r="M1" s="13" t="s">
        <v>11</v>
      </c>
      <c r="N1" s="12" t="s">
        <v>12</v>
      </c>
      <c r="O1" s="12" t="s">
        <v>13</v>
      </c>
      <c r="P1" s="12" t="s">
        <v>151</v>
      </c>
      <c r="Q1" s="12" t="s">
        <v>14</v>
      </c>
      <c r="R1" s="12" t="s">
        <v>157</v>
      </c>
      <c r="S1" s="13" t="s">
        <v>15</v>
      </c>
      <c r="T1" s="12" t="s">
        <v>16</v>
      </c>
      <c r="U1" s="12" t="s">
        <v>17</v>
      </c>
      <c r="V1" s="12" t="s">
        <v>18</v>
      </c>
      <c r="W1" s="12" t="s">
        <v>19</v>
      </c>
      <c r="X1" s="13" t="s">
        <v>20</v>
      </c>
      <c r="Y1" s="12" t="s">
        <v>152</v>
      </c>
      <c r="Z1" s="12" t="s">
        <v>153</v>
      </c>
      <c r="AA1" s="14" t="s">
        <v>155</v>
      </c>
      <c r="AB1" s="12" t="s">
        <v>156</v>
      </c>
      <c r="AC1" s="12" t="s">
        <v>158</v>
      </c>
      <c r="AD1" s="12" t="s">
        <v>171</v>
      </c>
    </row>
    <row r="2" spans="1:30" ht="15.75" x14ac:dyDescent="0.25">
      <c r="A2" s="10" t="s">
        <v>21</v>
      </c>
      <c r="B2" s="10" t="s">
        <v>22</v>
      </c>
      <c r="C2" s="10">
        <v>69.808005542115694</v>
      </c>
      <c r="D2" s="10">
        <v>55</v>
      </c>
      <c r="E2" s="10">
        <v>802</v>
      </c>
      <c r="F2" s="10">
        <v>8661.9967923923796</v>
      </c>
      <c r="G2" s="10" t="s">
        <v>23</v>
      </c>
      <c r="H2" s="10">
        <v>58</v>
      </c>
      <c r="I2" s="10">
        <v>7</v>
      </c>
      <c r="J2" s="10">
        <v>96</v>
      </c>
      <c r="K2" s="10">
        <v>4</v>
      </c>
      <c r="L2" s="10" t="s">
        <v>24</v>
      </c>
      <c r="M2" s="11">
        <v>2.9565721394308002</v>
      </c>
      <c r="N2" s="10" t="s">
        <v>25</v>
      </c>
      <c r="O2" s="10" t="s">
        <v>26</v>
      </c>
      <c r="P2" s="10">
        <v>29</v>
      </c>
      <c r="Q2" s="10">
        <v>215</v>
      </c>
      <c r="R2" s="10">
        <v>29</v>
      </c>
      <c r="S2" s="11">
        <v>46.279879240508301</v>
      </c>
      <c r="T2" s="10" t="s">
        <v>27</v>
      </c>
      <c r="U2" s="10">
        <v>0.226410360849925</v>
      </c>
      <c r="V2" s="10" t="s">
        <v>28</v>
      </c>
      <c r="W2" s="10" t="s">
        <v>29</v>
      </c>
      <c r="X2" s="11">
        <v>187.75207545920301</v>
      </c>
      <c r="Y2" s="11">
        <f>tbl_SupplyChaim[Shipping costs]+tbl_SupplyChaim[Manufacturing costs]+tbl_SupplyChaim[Costs]</f>
        <v>236.98852683914211</v>
      </c>
      <c r="Z2" s="11">
        <f>tbl_SupplyChaim[Revenue Generated]-tbl_SupplyChaim[Total_Cost]</f>
        <v>8425.0082655532369</v>
      </c>
      <c r="AA2" s="11">
        <f>IFERROR(tbl_SupplyChaim[[#This Row],[Revenue Generated]]-(tbl_SupplyChaim[[#This Row],[Total_Cost]]/tbl_SupplyChaim[Revenue Generated]),0)</f>
        <v>8661.9694328201567</v>
      </c>
      <c r="AB2" s="10">
        <f>tbl_SupplyChaim[Manufactuing Lead Time]+tbl_SupplyChaim[Shipping times]+tbl_SupplyChaim[Lead times]</f>
        <v>40</v>
      </c>
      <c r="AC2" s="11" t="str">
        <f>_xlfn.IFS(tbl_SupplyChaim[[#This Row],[Total Lead Time]]&gt;50,"HIGH RISK TIME",tbl_SupplyChaim[[#This Row],[Total Lead Time]]&gt;30,"MEDIUM","TRUE","OPTIMAL")</f>
        <v>MEDIUM</v>
      </c>
      <c r="AD2" s="15">
        <v>0.02</v>
      </c>
    </row>
    <row r="3" spans="1:30" ht="15.75" x14ac:dyDescent="0.25">
      <c r="A3" s="10" t="s">
        <v>30</v>
      </c>
      <c r="B3" s="10" t="s">
        <v>31</v>
      </c>
      <c r="C3" s="10">
        <v>14.8435232750843</v>
      </c>
      <c r="D3" s="10">
        <v>95</v>
      </c>
      <c r="E3" s="10">
        <v>736</v>
      </c>
      <c r="F3" s="10">
        <v>7460.9000654458396</v>
      </c>
      <c r="G3" s="10" t="s">
        <v>32</v>
      </c>
      <c r="H3" s="10">
        <v>53</v>
      </c>
      <c r="I3" s="10">
        <v>30</v>
      </c>
      <c r="J3" s="10">
        <v>37</v>
      </c>
      <c r="K3" s="10">
        <v>2</v>
      </c>
      <c r="L3" s="10" t="s">
        <v>33</v>
      </c>
      <c r="M3" s="11">
        <v>9.7165747714313095</v>
      </c>
      <c r="N3" s="10" t="s">
        <v>25</v>
      </c>
      <c r="O3" s="10" t="s">
        <v>26</v>
      </c>
      <c r="P3" s="10">
        <v>23</v>
      </c>
      <c r="Q3" s="10">
        <v>517</v>
      </c>
      <c r="R3" s="10">
        <v>30</v>
      </c>
      <c r="S3" s="11">
        <v>33.616768953730002</v>
      </c>
      <c r="T3" s="10" t="s">
        <v>27</v>
      </c>
      <c r="U3" s="10">
        <v>4.8540680263886999</v>
      </c>
      <c r="V3" s="10" t="s">
        <v>28</v>
      </c>
      <c r="W3" s="10" t="s">
        <v>29</v>
      </c>
      <c r="X3" s="11">
        <v>503.06557914966902</v>
      </c>
      <c r="Y3" s="11">
        <f>tbl_SupplyChaim[Shipping costs]+tbl_SupplyChaim[Manufacturing costs]+tbl_SupplyChaim[Costs]</f>
        <v>546.3989228748303</v>
      </c>
      <c r="Z3" s="11">
        <f>tbl_SupplyChaim[Revenue Generated]-tbl_SupplyChaim[Total_Cost]</f>
        <v>6914.501142571009</v>
      </c>
      <c r="AA3" s="11">
        <f>IFERROR(tbl_SupplyChaim[[#This Row],[Revenue Generated]]-(tbl_SupplyChaim[[#This Row],[Total_Cost]]/tbl_SupplyChaim[Revenue Generated]),0)</f>
        <v>7460.8268304583607</v>
      </c>
      <c r="AB3" s="10">
        <f>tbl_SupplyChaim[Manufactuing Lead Time]+tbl_SupplyChaim[Shipping times]+tbl_SupplyChaim[Lead times]</f>
        <v>62</v>
      </c>
      <c r="AC3" s="11" t="str">
        <f>_xlfn.IFS(tbl_SupplyChaim[[#This Row],[Total Lead Time]]&gt;50,"HIGH RISK TIME",tbl_SupplyChaim[[#This Row],[Total Lead Time]]&gt;30,"MEDIUM","TRUE","OPTIMAL")</f>
        <v>HIGH RISK TIME</v>
      </c>
      <c r="AD3" s="15">
        <v>0.02</v>
      </c>
    </row>
    <row r="4" spans="1:30" ht="15.75" x14ac:dyDescent="0.25">
      <c r="A4" s="10" t="s">
        <v>21</v>
      </c>
      <c r="B4" s="10" t="s">
        <v>34</v>
      </c>
      <c r="C4" s="10">
        <v>11.319683293090501</v>
      </c>
      <c r="D4" s="10">
        <v>34</v>
      </c>
      <c r="E4" s="10">
        <v>8</v>
      </c>
      <c r="F4" s="10">
        <v>9577.7496258687297</v>
      </c>
      <c r="G4" s="10" t="s">
        <v>35</v>
      </c>
      <c r="H4" s="10">
        <v>1</v>
      </c>
      <c r="I4" s="10">
        <v>10</v>
      </c>
      <c r="J4" s="10">
        <v>88</v>
      </c>
      <c r="K4" s="10">
        <v>2</v>
      </c>
      <c r="L4" s="10" t="s">
        <v>24</v>
      </c>
      <c r="M4" s="11">
        <v>8.0544792617321495</v>
      </c>
      <c r="N4" s="10" t="s">
        <v>36</v>
      </c>
      <c r="O4" s="10" t="s">
        <v>26</v>
      </c>
      <c r="P4" s="10">
        <v>12</v>
      </c>
      <c r="Q4" s="10">
        <v>971</v>
      </c>
      <c r="R4" s="10">
        <v>27</v>
      </c>
      <c r="S4" s="11">
        <v>30.6880193482842</v>
      </c>
      <c r="T4" s="10" t="s">
        <v>27</v>
      </c>
      <c r="U4" s="10">
        <v>4.5805926191992201</v>
      </c>
      <c r="V4" s="10" t="s">
        <v>37</v>
      </c>
      <c r="W4" s="10" t="s">
        <v>38</v>
      </c>
      <c r="X4" s="11">
        <v>141.920281771519</v>
      </c>
      <c r="Y4" s="11">
        <f>tbl_SupplyChaim[Shipping costs]+tbl_SupplyChaim[Manufacturing costs]+tbl_SupplyChaim[Costs]</f>
        <v>180.66278038153536</v>
      </c>
      <c r="Z4" s="11">
        <f>tbl_SupplyChaim[Revenue Generated]-tbl_SupplyChaim[Total_Cost]</f>
        <v>9397.0868454871943</v>
      </c>
      <c r="AA4" s="11">
        <f>IFERROR(tbl_SupplyChaim[[#This Row],[Revenue Generated]]-(tbl_SupplyChaim[[#This Row],[Total_Cost]]/tbl_SupplyChaim[Revenue Generated]),0)</f>
        <v>9577.7307631099993</v>
      </c>
      <c r="AB4" s="10">
        <f>tbl_SupplyChaim[Manufactuing Lead Time]+tbl_SupplyChaim[Shipping times]+tbl_SupplyChaim[Lead times]</f>
        <v>39</v>
      </c>
      <c r="AC4" s="11" t="str">
        <f>_xlfn.IFS(tbl_SupplyChaim[[#This Row],[Total Lead Time]]&gt;50,"HIGH RISK TIME",tbl_SupplyChaim[[#This Row],[Total Lead Time]]&gt;30,"MEDIUM","TRUE","OPTIMAL")</f>
        <v>MEDIUM</v>
      </c>
      <c r="AD4" s="15">
        <v>0.02</v>
      </c>
    </row>
    <row r="5" spans="1:30" ht="15.75" x14ac:dyDescent="0.25">
      <c r="A5" s="10" t="s">
        <v>30</v>
      </c>
      <c r="B5" s="10" t="s">
        <v>39</v>
      </c>
      <c r="C5" s="10">
        <v>61.1633430164377</v>
      </c>
      <c r="D5" s="10">
        <v>68</v>
      </c>
      <c r="E5" s="10">
        <v>83</v>
      </c>
      <c r="F5" s="10">
        <v>7766.8364256852301</v>
      </c>
      <c r="G5" s="10" t="s">
        <v>23</v>
      </c>
      <c r="H5" s="10">
        <v>23</v>
      </c>
      <c r="I5" s="10">
        <v>13</v>
      </c>
      <c r="J5" s="10">
        <v>59</v>
      </c>
      <c r="K5" s="10">
        <v>6</v>
      </c>
      <c r="L5" s="10" t="s">
        <v>40</v>
      </c>
      <c r="M5" s="11">
        <v>1.7295685635434199</v>
      </c>
      <c r="N5" s="10" t="s">
        <v>41</v>
      </c>
      <c r="O5" s="10" t="s">
        <v>42</v>
      </c>
      <c r="P5" s="10">
        <v>24</v>
      </c>
      <c r="Q5" s="10">
        <v>937</v>
      </c>
      <c r="R5" s="10">
        <v>18</v>
      </c>
      <c r="S5" s="11">
        <v>35.624741397125</v>
      </c>
      <c r="T5" s="10" t="s">
        <v>43</v>
      </c>
      <c r="U5" s="10">
        <v>4.7466486206477496</v>
      </c>
      <c r="V5" s="10" t="s">
        <v>44</v>
      </c>
      <c r="W5" s="10" t="s">
        <v>45</v>
      </c>
      <c r="X5" s="11">
        <v>254.776159219286</v>
      </c>
      <c r="Y5" s="11">
        <f>tbl_SupplyChaim[Shipping costs]+tbl_SupplyChaim[Manufacturing costs]+tbl_SupplyChaim[Costs]</f>
        <v>292.13046917995439</v>
      </c>
      <c r="Z5" s="11">
        <f>tbl_SupplyChaim[Revenue Generated]-tbl_SupplyChaim[Total_Cost]</f>
        <v>7474.7059565052759</v>
      </c>
      <c r="AA5" s="11">
        <f>IFERROR(tbl_SupplyChaim[[#This Row],[Revenue Generated]]-(tbl_SupplyChaim[[#This Row],[Total_Cost]]/tbl_SupplyChaim[Revenue Generated]),0)</f>
        <v>7766.7988131422117</v>
      </c>
      <c r="AB5" s="10">
        <f>tbl_SupplyChaim[Manufactuing Lead Time]+tbl_SupplyChaim[Shipping times]+tbl_SupplyChaim[Lead times]</f>
        <v>37</v>
      </c>
      <c r="AC5" s="11" t="str">
        <f>_xlfn.IFS(tbl_SupplyChaim[[#This Row],[Total Lead Time]]&gt;50,"HIGH RISK TIME",tbl_SupplyChaim[[#This Row],[Total Lead Time]]&gt;30,"MEDIUM","TRUE","OPTIMAL")</f>
        <v>MEDIUM</v>
      </c>
      <c r="AD5" s="15">
        <v>0.02</v>
      </c>
    </row>
    <row r="6" spans="1:30" ht="15.75" x14ac:dyDescent="0.25">
      <c r="A6" s="10" t="s">
        <v>30</v>
      </c>
      <c r="B6" s="10" t="s">
        <v>46</v>
      </c>
      <c r="C6" s="10">
        <v>4.8054960363458896</v>
      </c>
      <c r="D6" s="10">
        <v>26</v>
      </c>
      <c r="E6" s="10">
        <v>871</v>
      </c>
      <c r="F6" s="10">
        <v>2686.50515156744</v>
      </c>
      <c r="G6" s="10" t="s">
        <v>23</v>
      </c>
      <c r="H6" s="10">
        <v>5</v>
      </c>
      <c r="I6" s="10">
        <v>3</v>
      </c>
      <c r="J6" s="10">
        <v>56</v>
      </c>
      <c r="K6" s="10">
        <v>8</v>
      </c>
      <c r="L6" s="10" t="s">
        <v>33</v>
      </c>
      <c r="M6" s="11">
        <v>3.8905479158706702</v>
      </c>
      <c r="N6" s="10" t="s">
        <v>36</v>
      </c>
      <c r="O6" s="10" t="s">
        <v>47</v>
      </c>
      <c r="P6" s="10">
        <v>5</v>
      </c>
      <c r="Q6" s="10">
        <v>414</v>
      </c>
      <c r="R6" s="10">
        <v>3</v>
      </c>
      <c r="S6" s="11">
        <v>92.065160598712794</v>
      </c>
      <c r="T6" s="10" t="s">
        <v>43</v>
      </c>
      <c r="U6" s="10">
        <v>3.1455795228330001</v>
      </c>
      <c r="V6" s="10" t="s">
        <v>37</v>
      </c>
      <c r="W6" s="10" t="s">
        <v>45</v>
      </c>
      <c r="X6" s="11">
        <v>923.44063171192204</v>
      </c>
      <c r="Y6" s="11">
        <f>tbl_SupplyChaim[Shipping costs]+tbl_SupplyChaim[Manufacturing costs]+tbl_SupplyChaim[Costs]</f>
        <v>1019.3963402265055</v>
      </c>
      <c r="Z6" s="11">
        <f>tbl_SupplyChaim[Revenue Generated]-tbl_SupplyChaim[Total_Cost]</f>
        <v>1667.1088113409346</v>
      </c>
      <c r="AA6" s="11">
        <f>IFERROR(tbl_SupplyChaim[[#This Row],[Revenue Generated]]-(tbl_SupplyChaim[[#This Row],[Total_Cost]]/tbl_SupplyChaim[Revenue Generated]),0)</f>
        <v>2686.1257008376947</v>
      </c>
      <c r="AB6" s="10">
        <f>tbl_SupplyChaim[Manufactuing Lead Time]+tbl_SupplyChaim[Shipping times]+tbl_SupplyChaim[Lead times]</f>
        <v>14</v>
      </c>
      <c r="AC6" s="11" t="str">
        <f>_xlfn.IFS(tbl_SupplyChaim[[#This Row],[Total Lead Time]]&gt;50,"HIGH RISK TIME",tbl_SupplyChaim[[#This Row],[Total Lead Time]]&gt;30,"MEDIUM","TRUE","OPTIMAL")</f>
        <v>OPTIMAL</v>
      </c>
      <c r="AD6" s="15">
        <v>0.02</v>
      </c>
    </row>
    <row r="7" spans="1:30" ht="15.75" x14ac:dyDescent="0.25">
      <c r="A7" s="10" t="s">
        <v>21</v>
      </c>
      <c r="B7" s="10" t="s">
        <v>48</v>
      </c>
      <c r="C7" s="10">
        <v>1.6999760138659299</v>
      </c>
      <c r="D7" s="10">
        <v>87</v>
      </c>
      <c r="E7" s="10">
        <v>147</v>
      </c>
      <c r="F7" s="10">
        <v>2828.3487459757498</v>
      </c>
      <c r="G7" s="10" t="s">
        <v>23</v>
      </c>
      <c r="H7" s="10">
        <v>90</v>
      </c>
      <c r="I7" s="10">
        <v>27</v>
      </c>
      <c r="J7" s="10">
        <v>66</v>
      </c>
      <c r="K7" s="10">
        <v>3</v>
      </c>
      <c r="L7" s="10" t="s">
        <v>24</v>
      </c>
      <c r="M7" s="11">
        <v>4.4440988643822896</v>
      </c>
      <c r="N7" s="10" t="s">
        <v>49</v>
      </c>
      <c r="O7" s="10" t="s">
        <v>50</v>
      </c>
      <c r="P7" s="10">
        <v>10</v>
      </c>
      <c r="Q7" s="10">
        <v>104</v>
      </c>
      <c r="R7" s="10">
        <v>17</v>
      </c>
      <c r="S7" s="11">
        <v>56.766475557431797</v>
      </c>
      <c r="T7" s="10" t="s">
        <v>43</v>
      </c>
      <c r="U7" s="10">
        <v>2.7791935115711599</v>
      </c>
      <c r="V7" s="10" t="s">
        <v>28</v>
      </c>
      <c r="W7" s="10" t="s">
        <v>45</v>
      </c>
      <c r="X7" s="11">
        <v>235.461236735537</v>
      </c>
      <c r="Y7" s="11">
        <f>tbl_SupplyChaim[Shipping costs]+tbl_SupplyChaim[Manufacturing costs]+tbl_SupplyChaim[Costs]</f>
        <v>296.6718111573511</v>
      </c>
      <c r="Z7" s="11">
        <f>tbl_SupplyChaim[Revenue Generated]-tbl_SupplyChaim[Total_Cost]</f>
        <v>2531.6769348183989</v>
      </c>
      <c r="AA7" s="11">
        <f>IFERROR(tbl_SupplyChaim[[#This Row],[Revenue Generated]]-(tbl_SupplyChaim[[#This Row],[Total_Cost]]/tbl_SupplyChaim[Revenue Generated]),0)</f>
        <v>2828.2438537443445</v>
      </c>
      <c r="AB7" s="10">
        <f>tbl_SupplyChaim[Manufactuing Lead Time]+tbl_SupplyChaim[Shipping times]+tbl_SupplyChaim[Lead times]</f>
        <v>47</v>
      </c>
      <c r="AC7" s="11" t="str">
        <f>_xlfn.IFS(tbl_SupplyChaim[[#This Row],[Total Lead Time]]&gt;50,"HIGH RISK TIME",tbl_SupplyChaim[[#This Row],[Total Lead Time]]&gt;30,"MEDIUM","TRUE","OPTIMAL")</f>
        <v>MEDIUM</v>
      </c>
      <c r="AD7" s="15">
        <v>0.02</v>
      </c>
    </row>
    <row r="8" spans="1:30" ht="15.75" x14ac:dyDescent="0.25">
      <c r="A8" s="10" t="s">
        <v>30</v>
      </c>
      <c r="B8" s="10" t="s">
        <v>51</v>
      </c>
      <c r="C8" s="10">
        <v>4.0783328631079403</v>
      </c>
      <c r="D8" s="10">
        <v>48</v>
      </c>
      <c r="E8" s="10">
        <v>65</v>
      </c>
      <c r="F8" s="10">
        <v>7823.4765595317303</v>
      </c>
      <c r="G8" s="10" t="s">
        <v>52</v>
      </c>
      <c r="H8" s="10">
        <v>11</v>
      </c>
      <c r="I8" s="10">
        <v>15</v>
      </c>
      <c r="J8" s="10">
        <v>58</v>
      </c>
      <c r="K8" s="10">
        <v>8</v>
      </c>
      <c r="L8" s="10" t="s">
        <v>40</v>
      </c>
      <c r="M8" s="11">
        <v>3.8807633029519999</v>
      </c>
      <c r="N8" s="10" t="s">
        <v>25</v>
      </c>
      <c r="O8" s="10" t="s">
        <v>42</v>
      </c>
      <c r="P8" s="10">
        <v>14</v>
      </c>
      <c r="Q8" s="10">
        <v>314</v>
      </c>
      <c r="R8" s="10">
        <v>24</v>
      </c>
      <c r="S8" s="11">
        <v>1.0850685695870601</v>
      </c>
      <c r="T8" s="10" t="s">
        <v>27</v>
      </c>
      <c r="U8" s="10">
        <v>1.0009106193041299</v>
      </c>
      <c r="V8" s="10" t="s">
        <v>53</v>
      </c>
      <c r="W8" s="10" t="s">
        <v>45</v>
      </c>
      <c r="X8" s="11">
        <v>134.36909686103101</v>
      </c>
      <c r="Y8" s="11">
        <f>tbl_SupplyChaim[Shipping costs]+tbl_SupplyChaim[Manufacturing costs]+tbl_SupplyChaim[Costs]</f>
        <v>139.33492873357008</v>
      </c>
      <c r="Z8" s="11">
        <f>tbl_SupplyChaim[Revenue Generated]-tbl_SupplyChaim[Total_Cost]</f>
        <v>7684.1416307981599</v>
      </c>
      <c r="AA8" s="11">
        <f>IFERROR(tbl_SupplyChaim[[#This Row],[Revenue Generated]]-(tbl_SupplyChaim[[#This Row],[Total_Cost]]/tbl_SupplyChaim[Revenue Generated]),0)</f>
        <v>7823.4587496836821</v>
      </c>
      <c r="AB8" s="10">
        <f>tbl_SupplyChaim[Manufactuing Lead Time]+tbl_SupplyChaim[Shipping times]+tbl_SupplyChaim[Lead times]</f>
        <v>47</v>
      </c>
      <c r="AC8" s="11" t="str">
        <f>_xlfn.IFS(tbl_SupplyChaim[[#This Row],[Total Lead Time]]&gt;50,"HIGH RISK TIME",tbl_SupplyChaim[[#This Row],[Total Lead Time]]&gt;30,"MEDIUM","TRUE","OPTIMAL")</f>
        <v>MEDIUM</v>
      </c>
      <c r="AD8" s="15">
        <v>0.02</v>
      </c>
    </row>
    <row r="9" spans="1:30" ht="15.75" x14ac:dyDescent="0.25">
      <c r="A9" s="10" t="s">
        <v>54</v>
      </c>
      <c r="B9" s="10" t="s">
        <v>55</v>
      </c>
      <c r="C9" s="10">
        <v>42.958384382459997</v>
      </c>
      <c r="D9" s="10">
        <v>59</v>
      </c>
      <c r="E9" s="10">
        <v>426</v>
      </c>
      <c r="F9" s="10">
        <v>8496.1038130898305</v>
      </c>
      <c r="G9" s="10" t="s">
        <v>32</v>
      </c>
      <c r="H9" s="10">
        <v>93</v>
      </c>
      <c r="I9" s="10">
        <v>17</v>
      </c>
      <c r="J9" s="10">
        <v>11</v>
      </c>
      <c r="K9" s="10">
        <v>1</v>
      </c>
      <c r="L9" s="10" t="s">
        <v>24</v>
      </c>
      <c r="M9" s="11">
        <v>2.3483387844177801</v>
      </c>
      <c r="N9" s="10" t="s">
        <v>49</v>
      </c>
      <c r="O9" s="10" t="s">
        <v>50</v>
      </c>
      <c r="P9" s="10">
        <v>22</v>
      </c>
      <c r="Q9" s="10">
        <v>564</v>
      </c>
      <c r="R9" s="10">
        <v>1</v>
      </c>
      <c r="S9" s="11">
        <v>99.466108603599096</v>
      </c>
      <c r="T9" s="10" t="s">
        <v>43</v>
      </c>
      <c r="U9" s="10">
        <v>0.39817718685065001</v>
      </c>
      <c r="V9" s="10" t="s">
        <v>28</v>
      </c>
      <c r="W9" s="10" t="s">
        <v>38</v>
      </c>
      <c r="X9" s="11">
        <v>802.05631181755803</v>
      </c>
      <c r="Y9" s="11">
        <f>tbl_SupplyChaim[Shipping costs]+tbl_SupplyChaim[Manufacturing costs]+tbl_SupplyChaim[Costs]</f>
        <v>903.87075920557493</v>
      </c>
      <c r="Z9" s="11">
        <f>tbl_SupplyChaim[Revenue Generated]-tbl_SupplyChaim[Total_Cost]</f>
        <v>7592.2330538842552</v>
      </c>
      <c r="AA9" s="11">
        <f>IFERROR(tbl_SupplyChaim[[#This Row],[Revenue Generated]]-(tbl_SupplyChaim[[#This Row],[Total_Cost]]/tbl_SupplyChaim[Revenue Generated]),0)</f>
        <v>8495.9974265885485</v>
      </c>
      <c r="AB9" s="10">
        <f>tbl_SupplyChaim[Manufactuing Lead Time]+tbl_SupplyChaim[Shipping times]+tbl_SupplyChaim[Lead times]</f>
        <v>19</v>
      </c>
      <c r="AC9" s="11" t="str">
        <f>_xlfn.IFS(tbl_SupplyChaim[[#This Row],[Total Lead Time]]&gt;50,"HIGH RISK TIME",tbl_SupplyChaim[[#This Row],[Total Lead Time]]&gt;30,"MEDIUM","TRUE","OPTIMAL")</f>
        <v>OPTIMAL</v>
      </c>
      <c r="AD9" s="15">
        <v>0.02</v>
      </c>
    </row>
    <row r="10" spans="1:30" ht="15.75" x14ac:dyDescent="0.25">
      <c r="A10" s="10" t="s">
        <v>54</v>
      </c>
      <c r="B10" s="10" t="s">
        <v>56</v>
      </c>
      <c r="C10" s="10">
        <v>68.717596748527299</v>
      </c>
      <c r="D10" s="10">
        <v>78</v>
      </c>
      <c r="E10" s="10">
        <v>150</v>
      </c>
      <c r="F10" s="10">
        <v>7517.3632106311197</v>
      </c>
      <c r="G10" s="10" t="s">
        <v>32</v>
      </c>
      <c r="H10" s="10">
        <v>5</v>
      </c>
      <c r="I10" s="10">
        <v>10</v>
      </c>
      <c r="J10" s="10">
        <v>15</v>
      </c>
      <c r="K10" s="10">
        <v>7</v>
      </c>
      <c r="L10" s="10" t="s">
        <v>40</v>
      </c>
      <c r="M10" s="11">
        <v>3.4047338570830199</v>
      </c>
      <c r="N10" s="10" t="s">
        <v>49</v>
      </c>
      <c r="O10" s="10" t="s">
        <v>26</v>
      </c>
      <c r="P10" s="10">
        <v>13</v>
      </c>
      <c r="Q10" s="10">
        <v>769</v>
      </c>
      <c r="R10" s="10">
        <v>8</v>
      </c>
      <c r="S10" s="11">
        <v>11.423027139565599</v>
      </c>
      <c r="T10" s="10" t="s">
        <v>27</v>
      </c>
      <c r="U10" s="10">
        <v>2.7098626911099601</v>
      </c>
      <c r="V10" s="10" t="s">
        <v>53</v>
      </c>
      <c r="W10" s="10" t="s">
        <v>29</v>
      </c>
      <c r="X10" s="11">
        <v>505.55713422546398</v>
      </c>
      <c r="Y10" s="11">
        <f>tbl_SupplyChaim[Shipping costs]+tbl_SupplyChaim[Manufacturing costs]+tbl_SupplyChaim[Costs]</f>
        <v>520.38489522211262</v>
      </c>
      <c r="Z10" s="11">
        <f>tbl_SupplyChaim[Revenue Generated]-tbl_SupplyChaim[Total_Cost]</f>
        <v>6996.9783154090073</v>
      </c>
      <c r="AA10" s="11">
        <f>IFERROR(tbl_SupplyChaim[[#This Row],[Revenue Generated]]-(tbl_SupplyChaim[[#This Row],[Total_Cost]]/tbl_SupplyChaim[Revenue Generated]),0)</f>
        <v>7517.2939862394496</v>
      </c>
      <c r="AB10" s="10">
        <f>tbl_SupplyChaim[Manufactuing Lead Time]+tbl_SupplyChaim[Shipping times]+tbl_SupplyChaim[Lead times]</f>
        <v>25</v>
      </c>
      <c r="AC10" s="11" t="str">
        <f>_xlfn.IFS(tbl_SupplyChaim[[#This Row],[Total Lead Time]]&gt;50,"HIGH RISK TIME",tbl_SupplyChaim[[#This Row],[Total Lead Time]]&gt;30,"MEDIUM","TRUE","OPTIMAL")</f>
        <v>OPTIMAL</v>
      </c>
      <c r="AD10" s="15">
        <v>0.02</v>
      </c>
    </row>
    <row r="11" spans="1:30" ht="15.75" x14ac:dyDescent="0.25">
      <c r="A11" s="10" t="s">
        <v>30</v>
      </c>
      <c r="B11" s="10" t="s">
        <v>57</v>
      </c>
      <c r="C11" s="10">
        <v>64.0157329412785</v>
      </c>
      <c r="D11" s="10">
        <v>35</v>
      </c>
      <c r="E11" s="10">
        <v>980</v>
      </c>
      <c r="F11" s="10">
        <v>4971.1459875855498</v>
      </c>
      <c r="G11" s="10" t="s">
        <v>35</v>
      </c>
      <c r="H11" s="10">
        <v>14</v>
      </c>
      <c r="I11" s="10">
        <v>27</v>
      </c>
      <c r="J11" s="10">
        <v>83</v>
      </c>
      <c r="K11" s="10">
        <v>1</v>
      </c>
      <c r="L11" s="10" t="s">
        <v>33</v>
      </c>
      <c r="M11" s="11">
        <v>7.1666452910482104</v>
      </c>
      <c r="N11" s="10" t="s">
        <v>58</v>
      </c>
      <c r="O11" s="10" t="s">
        <v>59</v>
      </c>
      <c r="P11" s="10">
        <v>29</v>
      </c>
      <c r="Q11" s="10">
        <v>963</v>
      </c>
      <c r="R11" s="10">
        <v>23</v>
      </c>
      <c r="S11" s="11">
        <v>47.957601634951502</v>
      </c>
      <c r="T11" s="10" t="s">
        <v>27</v>
      </c>
      <c r="U11" s="10">
        <v>3.8446144787675798</v>
      </c>
      <c r="V11" s="10" t="s">
        <v>44</v>
      </c>
      <c r="W11" s="10" t="s">
        <v>29</v>
      </c>
      <c r="X11" s="11">
        <v>995.92946149864099</v>
      </c>
      <c r="Y11" s="11">
        <f>tbl_SupplyChaim[Shipping costs]+tbl_SupplyChaim[Manufacturing costs]+tbl_SupplyChaim[Costs]</f>
        <v>1051.0537084246407</v>
      </c>
      <c r="Z11" s="11">
        <f>tbl_SupplyChaim[Revenue Generated]-tbl_SupplyChaim[Total_Cost]</f>
        <v>3920.0922791609091</v>
      </c>
      <c r="AA11" s="11">
        <f>IFERROR(tbl_SupplyChaim[[#This Row],[Revenue Generated]]-(tbl_SupplyChaim[[#This Row],[Total_Cost]]/tbl_SupplyChaim[Revenue Generated]),0)</f>
        <v>4970.9345567180899</v>
      </c>
      <c r="AB11" s="10">
        <f>tbl_SupplyChaim[Manufactuing Lead Time]+tbl_SupplyChaim[Shipping times]+tbl_SupplyChaim[Lead times]</f>
        <v>51</v>
      </c>
      <c r="AC11" s="11" t="str">
        <f>_xlfn.IFS(tbl_SupplyChaim[[#This Row],[Total Lead Time]]&gt;50,"HIGH RISK TIME",tbl_SupplyChaim[[#This Row],[Total Lead Time]]&gt;30,"MEDIUM","TRUE","OPTIMAL")</f>
        <v>HIGH RISK TIME</v>
      </c>
      <c r="AD11" s="15">
        <v>0.02</v>
      </c>
    </row>
    <row r="12" spans="1:30" ht="15.75" x14ac:dyDescent="0.25">
      <c r="A12" s="10" t="s">
        <v>30</v>
      </c>
      <c r="B12" s="10" t="s">
        <v>60</v>
      </c>
      <c r="C12" s="10">
        <v>15.707795681912099</v>
      </c>
      <c r="D12" s="10">
        <v>11</v>
      </c>
      <c r="E12" s="10">
        <v>996</v>
      </c>
      <c r="F12" s="10">
        <v>2330.9658020919401</v>
      </c>
      <c r="G12" s="10" t="s">
        <v>23</v>
      </c>
      <c r="H12" s="10">
        <v>51</v>
      </c>
      <c r="I12" s="10">
        <v>13</v>
      </c>
      <c r="J12" s="10">
        <v>80</v>
      </c>
      <c r="K12" s="10">
        <v>2</v>
      </c>
      <c r="L12" s="10" t="s">
        <v>40</v>
      </c>
      <c r="M12" s="11">
        <v>8.6732112112786108</v>
      </c>
      <c r="N12" s="10" t="s">
        <v>41</v>
      </c>
      <c r="O12" s="10" t="s">
        <v>42</v>
      </c>
      <c r="P12" s="10">
        <v>18</v>
      </c>
      <c r="Q12" s="10">
        <v>830</v>
      </c>
      <c r="R12" s="10">
        <v>5</v>
      </c>
      <c r="S12" s="11">
        <v>96.527352785310896</v>
      </c>
      <c r="T12" s="10" t="s">
        <v>61</v>
      </c>
      <c r="U12" s="10">
        <v>1.72731392835594</v>
      </c>
      <c r="V12" s="10" t="s">
        <v>28</v>
      </c>
      <c r="W12" s="10" t="s">
        <v>29</v>
      </c>
      <c r="X12" s="11">
        <v>806.10317770292295</v>
      </c>
      <c r="Y12" s="11">
        <f>tbl_SupplyChaim[Shipping costs]+tbl_SupplyChaim[Manufacturing costs]+tbl_SupplyChaim[Costs]</f>
        <v>911.30374169951244</v>
      </c>
      <c r="Z12" s="11">
        <f>tbl_SupplyChaim[Revenue Generated]-tbl_SupplyChaim[Total_Cost]</f>
        <v>1419.6620603924275</v>
      </c>
      <c r="AA12" s="11">
        <f>IFERROR(tbl_SupplyChaim[[#This Row],[Revenue Generated]]-(tbl_SupplyChaim[[#This Row],[Total_Cost]]/tbl_SupplyChaim[Revenue Generated]),0)</f>
        <v>2330.5748466601267</v>
      </c>
      <c r="AB12" s="10">
        <f>tbl_SupplyChaim[Manufactuing Lead Time]+tbl_SupplyChaim[Shipping times]+tbl_SupplyChaim[Lead times]</f>
        <v>20</v>
      </c>
      <c r="AC12" s="11" t="str">
        <f>_xlfn.IFS(tbl_SupplyChaim[[#This Row],[Total Lead Time]]&gt;50,"HIGH RISK TIME",tbl_SupplyChaim[[#This Row],[Total Lead Time]]&gt;30,"MEDIUM","TRUE","OPTIMAL")</f>
        <v>OPTIMAL</v>
      </c>
      <c r="AD12" s="15">
        <v>0.02</v>
      </c>
    </row>
    <row r="13" spans="1:30" ht="15.75" x14ac:dyDescent="0.25">
      <c r="A13" s="10" t="s">
        <v>30</v>
      </c>
      <c r="B13" s="10" t="s">
        <v>62</v>
      </c>
      <c r="C13" s="10">
        <v>90.635459982288594</v>
      </c>
      <c r="D13" s="10">
        <v>95</v>
      </c>
      <c r="E13" s="10">
        <v>960</v>
      </c>
      <c r="F13" s="10">
        <v>6099.9441155814502</v>
      </c>
      <c r="G13" s="10" t="s">
        <v>32</v>
      </c>
      <c r="H13" s="10">
        <v>46</v>
      </c>
      <c r="I13" s="10">
        <v>23</v>
      </c>
      <c r="J13" s="10">
        <v>60</v>
      </c>
      <c r="K13" s="10">
        <v>1</v>
      </c>
      <c r="L13" s="10" t="s">
        <v>33</v>
      </c>
      <c r="M13" s="11">
        <v>4.5239431243166601</v>
      </c>
      <c r="N13" s="10" t="s">
        <v>58</v>
      </c>
      <c r="O13" s="10" t="s">
        <v>42</v>
      </c>
      <c r="P13" s="10">
        <v>28</v>
      </c>
      <c r="Q13" s="10">
        <v>362</v>
      </c>
      <c r="R13" s="10">
        <v>11</v>
      </c>
      <c r="S13" s="11">
        <v>27.5923630866636</v>
      </c>
      <c r="T13" s="10" t="s">
        <v>27</v>
      </c>
      <c r="U13" s="10">
        <v>2.1169821372994301E-2</v>
      </c>
      <c r="V13" s="10" t="s">
        <v>37</v>
      </c>
      <c r="W13" s="10" t="s">
        <v>45</v>
      </c>
      <c r="X13" s="11">
        <v>126.72303340940699</v>
      </c>
      <c r="Y13" s="11">
        <f>tbl_SupplyChaim[Shipping costs]+tbl_SupplyChaim[Manufacturing costs]+tbl_SupplyChaim[Costs]</f>
        <v>158.83933962038725</v>
      </c>
      <c r="Z13" s="11">
        <f>tbl_SupplyChaim[Revenue Generated]-tbl_SupplyChaim[Total_Cost]</f>
        <v>5941.1047759610628</v>
      </c>
      <c r="AA13" s="11">
        <f>IFERROR(tbl_SupplyChaim[[#This Row],[Revenue Generated]]-(tbl_SupplyChaim[[#This Row],[Total_Cost]]/tbl_SupplyChaim[Revenue Generated]),0)</f>
        <v>6099.9180761068892</v>
      </c>
      <c r="AB13" s="10">
        <f>tbl_SupplyChaim[Manufactuing Lead Time]+tbl_SupplyChaim[Shipping times]+tbl_SupplyChaim[Lead times]</f>
        <v>35</v>
      </c>
      <c r="AC13" s="11" t="str">
        <f>_xlfn.IFS(tbl_SupplyChaim[[#This Row],[Total Lead Time]]&gt;50,"HIGH RISK TIME",tbl_SupplyChaim[[#This Row],[Total Lead Time]]&gt;30,"MEDIUM","TRUE","OPTIMAL")</f>
        <v>MEDIUM</v>
      </c>
      <c r="AD13" s="15">
        <v>0.02</v>
      </c>
    </row>
    <row r="14" spans="1:30" ht="15.75" x14ac:dyDescent="0.25">
      <c r="A14" s="10" t="s">
        <v>21</v>
      </c>
      <c r="B14" s="10" t="s">
        <v>63</v>
      </c>
      <c r="C14" s="10">
        <v>71.213389075359999</v>
      </c>
      <c r="D14" s="10">
        <v>41</v>
      </c>
      <c r="E14" s="10">
        <v>336</v>
      </c>
      <c r="F14" s="10">
        <v>2873.74144602144</v>
      </c>
      <c r="G14" s="10" t="s">
        <v>35</v>
      </c>
      <c r="H14" s="10">
        <v>100</v>
      </c>
      <c r="I14" s="10">
        <v>30</v>
      </c>
      <c r="J14" s="10">
        <v>85</v>
      </c>
      <c r="K14" s="10">
        <v>4</v>
      </c>
      <c r="L14" s="10" t="s">
        <v>33</v>
      </c>
      <c r="M14" s="11">
        <v>1.32527401018452</v>
      </c>
      <c r="N14" s="10" t="s">
        <v>49</v>
      </c>
      <c r="O14" s="10" t="s">
        <v>42</v>
      </c>
      <c r="P14" s="10">
        <v>3</v>
      </c>
      <c r="Q14" s="10">
        <v>563</v>
      </c>
      <c r="R14" s="10">
        <v>3</v>
      </c>
      <c r="S14" s="11">
        <v>32.321286213424003</v>
      </c>
      <c r="T14" s="10" t="s">
        <v>43</v>
      </c>
      <c r="U14" s="10">
        <v>2.1612537475559099</v>
      </c>
      <c r="V14" s="10" t="s">
        <v>28</v>
      </c>
      <c r="W14" s="10" t="s">
        <v>29</v>
      </c>
      <c r="X14" s="11">
        <v>402.96878907376998</v>
      </c>
      <c r="Y14" s="11">
        <f>tbl_SupplyChaim[Shipping costs]+tbl_SupplyChaim[Manufacturing costs]+tbl_SupplyChaim[Costs]</f>
        <v>436.61534929737849</v>
      </c>
      <c r="Z14" s="11">
        <f>tbl_SupplyChaim[Revenue Generated]-tbl_SupplyChaim[Total_Cost]</f>
        <v>2437.1260967240614</v>
      </c>
      <c r="AA14" s="11">
        <f>IFERROR(tbl_SupplyChaim[[#This Row],[Revenue Generated]]-(tbl_SupplyChaim[[#This Row],[Total_Cost]]/tbl_SupplyChaim[Revenue Generated]),0)</f>
        <v>2873.58951330324</v>
      </c>
      <c r="AB14" s="10">
        <f>tbl_SupplyChaim[Manufactuing Lead Time]+tbl_SupplyChaim[Shipping times]+tbl_SupplyChaim[Lead times]</f>
        <v>37</v>
      </c>
      <c r="AC14" s="11" t="str">
        <f>_xlfn.IFS(tbl_SupplyChaim[[#This Row],[Total Lead Time]]&gt;50,"HIGH RISK TIME",tbl_SupplyChaim[[#This Row],[Total Lead Time]]&gt;30,"MEDIUM","TRUE","OPTIMAL")</f>
        <v>MEDIUM</v>
      </c>
      <c r="AD14" s="15">
        <v>0.02</v>
      </c>
    </row>
    <row r="15" spans="1:30" ht="15.75" x14ac:dyDescent="0.25">
      <c r="A15" s="10" t="s">
        <v>30</v>
      </c>
      <c r="B15" s="10" t="s">
        <v>64</v>
      </c>
      <c r="C15" s="10">
        <v>16.160393317379899</v>
      </c>
      <c r="D15" s="10">
        <v>5</v>
      </c>
      <c r="E15" s="10">
        <v>249</v>
      </c>
      <c r="F15" s="10">
        <v>4052.7384162378598</v>
      </c>
      <c r="G15" s="10" t="s">
        <v>52</v>
      </c>
      <c r="H15" s="10">
        <v>80</v>
      </c>
      <c r="I15" s="10">
        <v>8</v>
      </c>
      <c r="J15" s="10">
        <v>48</v>
      </c>
      <c r="K15" s="10">
        <v>9</v>
      </c>
      <c r="L15" s="10" t="s">
        <v>33</v>
      </c>
      <c r="M15" s="11">
        <v>9.5372830611083295</v>
      </c>
      <c r="N15" s="10" t="s">
        <v>41</v>
      </c>
      <c r="O15" s="10" t="s">
        <v>50</v>
      </c>
      <c r="P15" s="10">
        <v>23</v>
      </c>
      <c r="Q15" s="10">
        <v>173</v>
      </c>
      <c r="R15" s="10">
        <v>10</v>
      </c>
      <c r="S15" s="11">
        <v>97.829050110173199</v>
      </c>
      <c r="T15" s="10" t="s">
        <v>27</v>
      </c>
      <c r="U15" s="10">
        <v>1.63107423007153</v>
      </c>
      <c r="V15" s="10" t="s">
        <v>28</v>
      </c>
      <c r="W15" s="10" t="s">
        <v>29</v>
      </c>
      <c r="X15" s="11">
        <v>547.24100516096803</v>
      </c>
      <c r="Y15" s="11">
        <f>tbl_SupplyChaim[Shipping costs]+tbl_SupplyChaim[Manufacturing costs]+tbl_SupplyChaim[Costs]</f>
        <v>654.60733833224958</v>
      </c>
      <c r="Z15" s="11">
        <f>tbl_SupplyChaim[Revenue Generated]-tbl_SupplyChaim[Total_Cost]</f>
        <v>3398.1310779056103</v>
      </c>
      <c r="AA15" s="11">
        <f>IFERROR(tbl_SupplyChaim[[#This Row],[Revenue Generated]]-(tbl_SupplyChaim[[#This Row],[Total_Cost]]/tbl_SupplyChaim[Revenue Generated]),0)</f>
        <v>4052.5768940098992</v>
      </c>
      <c r="AB15" s="10">
        <f>tbl_SupplyChaim[Manufactuing Lead Time]+tbl_SupplyChaim[Shipping times]+tbl_SupplyChaim[Lead times]</f>
        <v>27</v>
      </c>
      <c r="AC15" s="11" t="str">
        <f>_xlfn.IFS(tbl_SupplyChaim[[#This Row],[Total Lead Time]]&gt;50,"HIGH RISK TIME",tbl_SupplyChaim[[#This Row],[Total Lead Time]]&gt;30,"MEDIUM","TRUE","OPTIMAL")</f>
        <v>OPTIMAL</v>
      </c>
      <c r="AD15" s="15">
        <v>0.02</v>
      </c>
    </row>
    <row r="16" spans="1:30" ht="15.75" x14ac:dyDescent="0.25">
      <c r="A16" s="10" t="s">
        <v>30</v>
      </c>
      <c r="B16" s="10" t="s">
        <v>65</v>
      </c>
      <c r="C16" s="10">
        <v>99.171328638624104</v>
      </c>
      <c r="D16" s="10">
        <v>26</v>
      </c>
      <c r="E16" s="10">
        <v>562</v>
      </c>
      <c r="F16" s="10">
        <v>8653.5709264697998</v>
      </c>
      <c r="G16" s="10" t="s">
        <v>23</v>
      </c>
      <c r="H16" s="10">
        <v>54</v>
      </c>
      <c r="I16" s="10">
        <v>29</v>
      </c>
      <c r="J16" s="10">
        <v>78</v>
      </c>
      <c r="K16" s="10">
        <v>5</v>
      </c>
      <c r="L16" s="10" t="s">
        <v>24</v>
      </c>
      <c r="M16" s="11">
        <v>2.0397701894493299</v>
      </c>
      <c r="N16" s="10" t="s">
        <v>36</v>
      </c>
      <c r="O16" s="10" t="s">
        <v>42</v>
      </c>
      <c r="P16" s="10">
        <v>25</v>
      </c>
      <c r="Q16" s="10">
        <v>558</v>
      </c>
      <c r="R16" s="10">
        <v>14</v>
      </c>
      <c r="S16" s="11">
        <v>5.7914366298629796</v>
      </c>
      <c r="T16" s="10" t="s">
        <v>27</v>
      </c>
      <c r="U16" s="10">
        <v>0.100682851565093</v>
      </c>
      <c r="V16" s="10" t="s">
        <v>37</v>
      </c>
      <c r="W16" s="10" t="s">
        <v>29</v>
      </c>
      <c r="X16" s="11">
        <v>929.23528996088896</v>
      </c>
      <c r="Y16" s="11">
        <f>tbl_SupplyChaim[Shipping costs]+tbl_SupplyChaim[Manufacturing costs]+tbl_SupplyChaim[Costs]</f>
        <v>937.06649678020131</v>
      </c>
      <c r="Z16" s="11">
        <f>tbl_SupplyChaim[Revenue Generated]-tbl_SupplyChaim[Total_Cost]</f>
        <v>7716.5044296895985</v>
      </c>
      <c r="AA16" s="11">
        <f>IFERROR(tbl_SupplyChaim[[#This Row],[Revenue Generated]]-(tbl_SupplyChaim[[#This Row],[Total_Cost]]/tbl_SupplyChaim[Revenue Generated]),0)</f>
        <v>8653.4626397862157</v>
      </c>
      <c r="AB16" s="10">
        <f>tbl_SupplyChaim[Manufactuing Lead Time]+tbl_SupplyChaim[Shipping times]+tbl_SupplyChaim[Lead times]</f>
        <v>48</v>
      </c>
      <c r="AC16" s="11" t="str">
        <f>_xlfn.IFS(tbl_SupplyChaim[[#This Row],[Total Lead Time]]&gt;50,"HIGH RISK TIME",tbl_SupplyChaim[[#This Row],[Total Lead Time]]&gt;30,"MEDIUM","TRUE","OPTIMAL")</f>
        <v>MEDIUM</v>
      </c>
      <c r="AD16" s="15">
        <v>0.02</v>
      </c>
    </row>
    <row r="17" spans="1:30" ht="15.75" x14ac:dyDescent="0.25">
      <c r="A17" s="10" t="s">
        <v>30</v>
      </c>
      <c r="B17" s="10" t="s">
        <v>66</v>
      </c>
      <c r="C17" s="10">
        <v>36.989244928626903</v>
      </c>
      <c r="D17" s="10">
        <v>94</v>
      </c>
      <c r="E17" s="10">
        <v>469</v>
      </c>
      <c r="F17" s="10">
        <v>5442.0867853976697</v>
      </c>
      <c r="G17" s="10" t="s">
        <v>23</v>
      </c>
      <c r="H17" s="10">
        <v>9</v>
      </c>
      <c r="I17" s="10">
        <v>8</v>
      </c>
      <c r="J17" s="10">
        <v>69</v>
      </c>
      <c r="K17" s="10">
        <v>7</v>
      </c>
      <c r="L17" s="10" t="s">
        <v>24</v>
      </c>
      <c r="M17" s="11">
        <v>2.4220397232752</v>
      </c>
      <c r="N17" s="10" t="s">
        <v>36</v>
      </c>
      <c r="O17" s="10" t="s">
        <v>50</v>
      </c>
      <c r="P17" s="10">
        <v>14</v>
      </c>
      <c r="Q17" s="10">
        <v>580</v>
      </c>
      <c r="R17" s="10">
        <v>7</v>
      </c>
      <c r="S17" s="11">
        <v>97.121281751474299</v>
      </c>
      <c r="T17" s="10" t="s">
        <v>61</v>
      </c>
      <c r="U17" s="10">
        <v>2.2644057611985402</v>
      </c>
      <c r="V17" s="10" t="s">
        <v>53</v>
      </c>
      <c r="W17" s="10" t="s">
        <v>29</v>
      </c>
      <c r="X17" s="11">
        <v>127.861800001625</v>
      </c>
      <c r="Y17" s="11">
        <f>tbl_SupplyChaim[Shipping costs]+tbl_SupplyChaim[Manufacturing costs]+tbl_SupplyChaim[Costs]</f>
        <v>227.40512147637452</v>
      </c>
      <c r="Z17" s="11">
        <f>tbl_SupplyChaim[Revenue Generated]-tbl_SupplyChaim[Total_Cost]</f>
        <v>5214.6816639212948</v>
      </c>
      <c r="AA17" s="11">
        <f>IFERROR(tbl_SupplyChaim[[#This Row],[Revenue Generated]]-(tbl_SupplyChaim[[#This Row],[Total_Cost]]/tbl_SupplyChaim[Revenue Generated]),0)</f>
        <v>5442.0449990149009</v>
      </c>
      <c r="AB17" s="10">
        <f>tbl_SupplyChaim[Manufactuing Lead Time]+tbl_SupplyChaim[Shipping times]+tbl_SupplyChaim[Lead times]</f>
        <v>22</v>
      </c>
      <c r="AC17" s="11" t="str">
        <f>_xlfn.IFS(tbl_SupplyChaim[[#This Row],[Total Lead Time]]&gt;50,"HIGH RISK TIME",tbl_SupplyChaim[[#This Row],[Total Lead Time]]&gt;30,"MEDIUM","TRUE","OPTIMAL")</f>
        <v>OPTIMAL</v>
      </c>
      <c r="AD17" s="15">
        <v>0.02</v>
      </c>
    </row>
    <row r="18" spans="1:30" ht="15.75" x14ac:dyDescent="0.25">
      <c r="A18" s="10" t="s">
        <v>30</v>
      </c>
      <c r="B18" s="10" t="s">
        <v>67</v>
      </c>
      <c r="C18" s="10">
        <v>7.5471721097912701</v>
      </c>
      <c r="D18" s="10">
        <v>74</v>
      </c>
      <c r="E18" s="10">
        <v>280</v>
      </c>
      <c r="F18" s="10">
        <v>6453.7979681762799</v>
      </c>
      <c r="G18" s="10" t="s">
        <v>32</v>
      </c>
      <c r="H18" s="10">
        <v>2</v>
      </c>
      <c r="I18" s="10">
        <v>5</v>
      </c>
      <c r="J18" s="10">
        <v>78</v>
      </c>
      <c r="K18" s="10">
        <v>1</v>
      </c>
      <c r="L18" s="10" t="s">
        <v>24</v>
      </c>
      <c r="M18" s="11">
        <v>4.1913245857054999</v>
      </c>
      <c r="N18" s="10" t="s">
        <v>36</v>
      </c>
      <c r="O18" s="10" t="s">
        <v>50</v>
      </c>
      <c r="P18" s="10">
        <v>3</v>
      </c>
      <c r="Q18" s="10">
        <v>399</v>
      </c>
      <c r="R18" s="10">
        <v>21</v>
      </c>
      <c r="S18" s="11">
        <v>77.106342497849994</v>
      </c>
      <c r="T18" s="10" t="s">
        <v>61</v>
      </c>
      <c r="U18" s="10">
        <v>1.01256308925804</v>
      </c>
      <c r="V18" s="10" t="s">
        <v>37</v>
      </c>
      <c r="W18" s="10" t="s">
        <v>45</v>
      </c>
      <c r="X18" s="11">
        <v>865.52577977123997</v>
      </c>
      <c r="Y18" s="11">
        <f>tbl_SupplyChaim[Shipping costs]+tbl_SupplyChaim[Manufacturing costs]+tbl_SupplyChaim[Costs]</f>
        <v>946.82344685479552</v>
      </c>
      <c r="Z18" s="11">
        <f>tbl_SupplyChaim[Revenue Generated]-tbl_SupplyChaim[Total_Cost]</f>
        <v>5506.9745213214846</v>
      </c>
      <c r="AA18" s="11">
        <f>IFERROR(tbl_SupplyChaim[[#This Row],[Revenue Generated]]-(tbl_SupplyChaim[[#This Row],[Total_Cost]]/tbl_SupplyChaim[Revenue Generated]),0)</f>
        <v>6453.651260229808</v>
      </c>
      <c r="AB18" s="10">
        <f>tbl_SupplyChaim[Manufactuing Lead Time]+tbl_SupplyChaim[Shipping times]+tbl_SupplyChaim[Lead times]</f>
        <v>27</v>
      </c>
      <c r="AC18" s="11" t="str">
        <f>_xlfn.IFS(tbl_SupplyChaim[[#This Row],[Total Lead Time]]&gt;50,"HIGH RISK TIME",tbl_SupplyChaim[[#This Row],[Total Lead Time]]&gt;30,"MEDIUM","TRUE","OPTIMAL")</f>
        <v>OPTIMAL</v>
      </c>
      <c r="AD18" s="15">
        <v>0.02</v>
      </c>
    </row>
    <row r="19" spans="1:30" ht="15.75" x14ac:dyDescent="0.25">
      <c r="A19" s="10" t="s">
        <v>54</v>
      </c>
      <c r="B19" s="10" t="s">
        <v>68</v>
      </c>
      <c r="C19" s="10">
        <v>81.462534369237005</v>
      </c>
      <c r="D19" s="10">
        <v>82</v>
      </c>
      <c r="E19" s="10">
        <v>126</v>
      </c>
      <c r="F19" s="10">
        <v>2629.39643484526</v>
      </c>
      <c r="G19" s="10" t="s">
        <v>32</v>
      </c>
      <c r="H19" s="10">
        <v>45</v>
      </c>
      <c r="I19" s="10">
        <v>17</v>
      </c>
      <c r="J19" s="10">
        <v>85</v>
      </c>
      <c r="K19" s="10">
        <v>9</v>
      </c>
      <c r="L19" s="10" t="s">
        <v>40</v>
      </c>
      <c r="M19" s="11">
        <v>3.5854189582323399</v>
      </c>
      <c r="N19" s="10" t="s">
        <v>36</v>
      </c>
      <c r="O19" s="10" t="s">
        <v>59</v>
      </c>
      <c r="P19" s="10">
        <v>7</v>
      </c>
      <c r="Q19" s="10">
        <v>453</v>
      </c>
      <c r="R19" s="10">
        <v>16</v>
      </c>
      <c r="S19" s="11">
        <v>47.679680368355299</v>
      </c>
      <c r="T19" s="10" t="s">
        <v>43</v>
      </c>
      <c r="U19" s="10">
        <v>0.102020754918176</v>
      </c>
      <c r="V19" s="10" t="s">
        <v>37</v>
      </c>
      <c r="W19" s="10" t="s">
        <v>38</v>
      </c>
      <c r="X19" s="11">
        <v>670.93439079241</v>
      </c>
      <c r="Y19" s="11">
        <f>tbl_SupplyChaim[Shipping costs]+tbl_SupplyChaim[Manufacturing costs]+tbl_SupplyChaim[Costs]</f>
        <v>722.19949011899769</v>
      </c>
      <c r="Z19" s="11">
        <f>tbl_SupplyChaim[Revenue Generated]-tbl_SupplyChaim[Total_Cost]</f>
        <v>1907.1969447262622</v>
      </c>
      <c r="AA19" s="11">
        <f>IFERROR(tbl_SupplyChaim[[#This Row],[Revenue Generated]]-(tbl_SupplyChaim[[#This Row],[Total_Cost]]/tbl_SupplyChaim[Revenue Generated]),0)</f>
        <v>2629.1217712454513</v>
      </c>
      <c r="AB19" s="10">
        <f>tbl_SupplyChaim[Manufactuing Lead Time]+tbl_SupplyChaim[Shipping times]+tbl_SupplyChaim[Lead times]</f>
        <v>42</v>
      </c>
      <c r="AC19" s="11" t="str">
        <f>_xlfn.IFS(tbl_SupplyChaim[[#This Row],[Total Lead Time]]&gt;50,"HIGH RISK TIME",tbl_SupplyChaim[[#This Row],[Total Lead Time]]&gt;30,"MEDIUM","TRUE","OPTIMAL")</f>
        <v>MEDIUM</v>
      </c>
      <c r="AD19" s="15">
        <v>0.02</v>
      </c>
    </row>
    <row r="20" spans="1:30" ht="15.75" x14ac:dyDescent="0.25">
      <c r="A20" s="10" t="s">
        <v>21</v>
      </c>
      <c r="B20" s="10" t="s">
        <v>69</v>
      </c>
      <c r="C20" s="10">
        <v>36.4436277704609</v>
      </c>
      <c r="D20" s="10">
        <v>23</v>
      </c>
      <c r="E20" s="10">
        <v>620</v>
      </c>
      <c r="F20" s="10">
        <v>9364.6735050761708</v>
      </c>
      <c r="G20" s="10" t="s">
        <v>35</v>
      </c>
      <c r="H20" s="10">
        <v>10</v>
      </c>
      <c r="I20" s="10">
        <v>10</v>
      </c>
      <c r="J20" s="10">
        <v>46</v>
      </c>
      <c r="K20" s="10">
        <v>8</v>
      </c>
      <c r="L20" s="10" t="s">
        <v>40</v>
      </c>
      <c r="M20" s="11">
        <v>4.3392247141107001</v>
      </c>
      <c r="N20" s="10" t="s">
        <v>58</v>
      </c>
      <c r="O20" s="10" t="s">
        <v>42</v>
      </c>
      <c r="P20" s="10">
        <v>18</v>
      </c>
      <c r="Q20" s="10">
        <v>374</v>
      </c>
      <c r="R20" s="10">
        <v>17</v>
      </c>
      <c r="S20" s="11">
        <v>27.107980854843898</v>
      </c>
      <c r="T20" s="10" t="s">
        <v>27</v>
      </c>
      <c r="U20" s="10">
        <v>2.2319391107292601</v>
      </c>
      <c r="V20" s="10" t="s">
        <v>53</v>
      </c>
      <c r="W20" s="10" t="s">
        <v>45</v>
      </c>
      <c r="X20" s="11">
        <v>593.48025872065102</v>
      </c>
      <c r="Y20" s="11">
        <f>tbl_SupplyChaim[Shipping costs]+tbl_SupplyChaim[Manufacturing costs]+tbl_SupplyChaim[Costs]</f>
        <v>624.92746428960561</v>
      </c>
      <c r="Z20" s="11">
        <f>tbl_SupplyChaim[Revenue Generated]-tbl_SupplyChaim[Total_Cost]</f>
        <v>8739.7460407865656</v>
      </c>
      <c r="AA20" s="11">
        <f>IFERROR(tbl_SupplyChaim[[#This Row],[Revenue Generated]]-(tbl_SupplyChaim[[#This Row],[Total_Cost]]/tbl_SupplyChaim[Revenue Generated]),0)</f>
        <v>9364.6067726413512</v>
      </c>
      <c r="AB20" s="10">
        <f>tbl_SupplyChaim[Manufactuing Lead Time]+tbl_SupplyChaim[Shipping times]+tbl_SupplyChaim[Lead times]</f>
        <v>35</v>
      </c>
      <c r="AC20" s="11" t="str">
        <f>_xlfn.IFS(tbl_SupplyChaim[[#This Row],[Total Lead Time]]&gt;50,"HIGH RISK TIME",tbl_SupplyChaim[[#This Row],[Total Lead Time]]&gt;30,"MEDIUM","TRUE","OPTIMAL")</f>
        <v>MEDIUM</v>
      </c>
      <c r="AD20" s="15">
        <v>0.02</v>
      </c>
    </row>
    <row r="21" spans="1:30" ht="15.75" x14ac:dyDescent="0.25">
      <c r="A21" s="10" t="s">
        <v>30</v>
      </c>
      <c r="B21" s="10" t="s">
        <v>70</v>
      </c>
      <c r="C21" s="10">
        <v>51.123870087964697</v>
      </c>
      <c r="D21" s="10">
        <v>100</v>
      </c>
      <c r="E21" s="10">
        <v>187</v>
      </c>
      <c r="F21" s="10">
        <v>2553.4955849912099</v>
      </c>
      <c r="G21" s="10" t="s">
        <v>35</v>
      </c>
      <c r="H21" s="10">
        <v>48</v>
      </c>
      <c r="I21" s="10">
        <v>11</v>
      </c>
      <c r="J21" s="10">
        <v>94</v>
      </c>
      <c r="K21" s="10">
        <v>3</v>
      </c>
      <c r="L21" s="10" t="s">
        <v>33</v>
      </c>
      <c r="M21" s="11">
        <v>4.7426358828418698</v>
      </c>
      <c r="N21" s="10" t="s">
        <v>49</v>
      </c>
      <c r="O21" s="10" t="s">
        <v>59</v>
      </c>
      <c r="P21" s="10">
        <v>20</v>
      </c>
      <c r="Q21" s="10">
        <v>694</v>
      </c>
      <c r="R21" s="10">
        <v>16</v>
      </c>
      <c r="S21" s="11">
        <v>82.373320587990193</v>
      </c>
      <c r="T21" s="10" t="s">
        <v>43</v>
      </c>
      <c r="U21" s="10">
        <v>3.64645086541702</v>
      </c>
      <c r="V21" s="10" t="s">
        <v>28</v>
      </c>
      <c r="W21" s="10" t="s">
        <v>38</v>
      </c>
      <c r="X21" s="11">
        <v>477.30763109090299</v>
      </c>
      <c r="Y21" s="11">
        <f>tbl_SupplyChaim[Shipping costs]+tbl_SupplyChaim[Manufacturing costs]+tbl_SupplyChaim[Costs]</f>
        <v>564.42358756173508</v>
      </c>
      <c r="Z21" s="11">
        <f>tbl_SupplyChaim[Revenue Generated]-tbl_SupplyChaim[Total_Cost]</f>
        <v>1989.0719974294748</v>
      </c>
      <c r="AA21" s="11">
        <f>IFERROR(tbl_SupplyChaim[[#This Row],[Revenue Generated]]-(tbl_SupplyChaim[[#This Row],[Total_Cost]]/tbl_SupplyChaim[Revenue Generated]),0)</f>
        <v>2553.2745454128062</v>
      </c>
      <c r="AB21" s="10">
        <f>tbl_SupplyChaim[Manufactuing Lead Time]+tbl_SupplyChaim[Shipping times]+tbl_SupplyChaim[Lead times]</f>
        <v>30</v>
      </c>
      <c r="AC21" s="11" t="str">
        <f>_xlfn.IFS(tbl_SupplyChaim[[#This Row],[Total Lead Time]]&gt;50,"HIGH RISK TIME",tbl_SupplyChaim[[#This Row],[Total Lead Time]]&gt;30,"MEDIUM","TRUE","OPTIMAL")</f>
        <v>OPTIMAL</v>
      </c>
      <c r="AD21" s="15">
        <v>0.02</v>
      </c>
    </row>
    <row r="22" spans="1:30" ht="15.75" x14ac:dyDescent="0.25">
      <c r="A22" s="10" t="s">
        <v>30</v>
      </c>
      <c r="B22" s="10" t="s">
        <v>71</v>
      </c>
      <c r="C22" s="10">
        <v>96.341072439963298</v>
      </c>
      <c r="D22" s="10">
        <v>22</v>
      </c>
      <c r="E22" s="10">
        <v>320</v>
      </c>
      <c r="F22" s="10">
        <v>8128.0276968511898</v>
      </c>
      <c r="G22" s="10" t="s">
        <v>35</v>
      </c>
      <c r="H22" s="10">
        <v>27</v>
      </c>
      <c r="I22" s="10">
        <v>12</v>
      </c>
      <c r="J22" s="10">
        <v>68</v>
      </c>
      <c r="K22" s="10">
        <v>6</v>
      </c>
      <c r="L22" s="10" t="s">
        <v>33</v>
      </c>
      <c r="M22" s="11">
        <v>8.8783346509268402</v>
      </c>
      <c r="N22" s="10" t="s">
        <v>36</v>
      </c>
      <c r="O22" s="10" t="s">
        <v>59</v>
      </c>
      <c r="P22" s="10">
        <v>29</v>
      </c>
      <c r="Q22" s="10">
        <v>309</v>
      </c>
      <c r="R22" s="10">
        <v>6</v>
      </c>
      <c r="S22" s="11">
        <v>65.686259608488598</v>
      </c>
      <c r="T22" s="10" t="s">
        <v>61</v>
      </c>
      <c r="U22" s="10">
        <v>4.2314165735345304</v>
      </c>
      <c r="V22" s="10" t="s">
        <v>37</v>
      </c>
      <c r="W22" s="10" t="s">
        <v>29</v>
      </c>
      <c r="X22" s="11">
        <v>493.871215316205</v>
      </c>
      <c r="Y22" s="11">
        <f>tbl_SupplyChaim[Shipping costs]+tbl_SupplyChaim[Manufacturing costs]+tbl_SupplyChaim[Costs]</f>
        <v>568.4358095756204</v>
      </c>
      <c r="Z22" s="11">
        <f>tbl_SupplyChaim[Revenue Generated]-tbl_SupplyChaim[Total_Cost]</f>
        <v>7559.5918872755692</v>
      </c>
      <c r="AA22" s="11">
        <f>IFERROR(tbl_SupplyChaim[[#This Row],[Revenue Generated]]-(tbl_SupplyChaim[[#This Row],[Total_Cost]]/tbl_SupplyChaim[Revenue Generated]),0)</f>
        <v>8127.9577615814324</v>
      </c>
      <c r="AB22" s="10">
        <f>tbl_SupplyChaim[Manufactuing Lead Time]+tbl_SupplyChaim[Shipping times]+tbl_SupplyChaim[Lead times]</f>
        <v>24</v>
      </c>
      <c r="AC22" s="11" t="str">
        <f>_xlfn.IFS(tbl_SupplyChaim[[#This Row],[Total Lead Time]]&gt;50,"HIGH RISK TIME",tbl_SupplyChaim[[#This Row],[Total Lead Time]]&gt;30,"MEDIUM","TRUE","OPTIMAL")</f>
        <v>OPTIMAL</v>
      </c>
      <c r="AD22" s="15">
        <v>0.02</v>
      </c>
    </row>
    <row r="23" spans="1:30" ht="15.75" x14ac:dyDescent="0.25">
      <c r="A23" s="10" t="s">
        <v>54</v>
      </c>
      <c r="B23" s="10" t="s">
        <v>72</v>
      </c>
      <c r="C23" s="10">
        <v>84.893868984950799</v>
      </c>
      <c r="D23" s="10">
        <v>60</v>
      </c>
      <c r="E23" s="10">
        <v>601</v>
      </c>
      <c r="F23" s="10">
        <v>7087.0526963574302</v>
      </c>
      <c r="G23" s="10" t="s">
        <v>35</v>
      </c>
      <c r="H23" s="10">
        <v>69</v>
      </c>
      <c r="I23" s="10">
        <v>25</v>
      </c>
      <c r="J23" s="10">
        <v>7</v>
      </c>
      <c r="K23" s="10">
        <v>6</v>
      </c>
      <c r="L23" s="10" t="s">
        <v>24</v>
      </c>
      <c r="M23" s="11">
        <v>6.0378837692182898</v>
      </c>
      <c r="N23" s="10" t="s">
        <v>41</v>
      </c>
      <c r="O23" s="10" t="s">
        <v>59</v>
      </c>
      <c r="P23" s="10">
        <v>19</v>
      </c>
      <c r="Q23" s="10">
        <v>791</v>
      </c>
      <c r="R23" s="10">
        <v>4</v>
      </c>
      <c r="S23" s="11">
        <v>61.735728954160898</v>
      </c>
      <c r="T23" s="10" t="s">
        <v>27</v>
      </c>
      <c r="U23" s="10">
        <v>1.8607567631014899E-2</v>
      </c>
      <c r="V23" s="10" t="s">
        <v>37</v>
      </c>
      <c r="W23" s="10" t="s">
        <v>38</v>
      </c>
      <c r="X23" s="11">
        <v>523.36091472015801</v>
      </c>
      <c r="Y23" s="11">
        <f>tbl_SupplyChaim[Shipping costs]+tbl_SupplyChaim[Manufacturing costs]+tbl_SupplyChaim[Costs]</f>
        <v>591.13452744353719</v>
      </c>
      <c r="Z23" s="11">
        <f>tbl_SupplyChaim[Revenue Generated]-tbl_SupplyChaim[Total_Cost]</f>
        <v>6495.9181689138932</v>
      </c>
      <c r="AA23" s="11">
        <f>IFERROR(tbl_SupplyChaim[[#This Row],[Revenue Generated]]-(tbl_SupplyChaim[[#This Row],[Total_Cost]]/tbl_SupplyChaim[Revenue Generated]),0)</f>
        <v>7086.9692858689277</v>
      </c>
      <c r="AB23" s="10">
        <f>tbl_SupplyChaim[Manufactuing Lead Time]+tbl_SupplyChaim[Shipping times]+tbl_SupplyChaim[Lead times]</f>
        <v>35</v>
      </c>
      <c r="AC23" s="11" t="str">
        <f>_xlfn.IFS(tbl_SupplyChaim[[#This Row],[Total Lead Time]]&gt;50,"HIGH RISK TIME",tbl_SupplyChaim[[#This Row],[Total Lead Time]]&gt;30,"MEDIUM","TRUE","OPTIMAL")</f>
        <v>MEDIUM</v>
      </c>
      <c r="AD23" s="15">
        <v>0.02</v>
      </c>
    </row>
    <row r="24" spans="1:30" ht="15.75" x14ac:dyDescent="0.25">
      <c r="A24" s="10" t="s">
        <v>21</v>
      </c>
      <c r="B24" s="10" t="s">
        <v>73</v>
      </c>
      <c r="C24" s="10">
        <v>27.679780886501899</v>
      </c>
      <c r="D24" s="10">
        <v>55</v>
      </c>
      <c r="E24" s="10">
        <v>884</v>
      </c>
      <c r="F24" s="10">
        <v>2390.8078665561702</v>
      </c>
      <c r="G24" s="10" t="s">
        <v>35</v>
      </c>
      <c r="H24" s="10">
        <v>71</v>
      </c>
      <c r="I24" s="10">
        <v>1</v>
      </c>
      <c r="J24" s="10">
        <v>63</v>
      </c>
      <c r="K24" s="10">
        <v>10</v>
      </c>
      <c r="L24" s="10" t="s">
        <v>33</v>
      </c>
      <c r="M24" s="11">
        <v>9.5676489209230393</v>
      </c>
      <c r="N24" s="10" t="s">
        <v>49</v>
      </c>
      <c r="O24" s="10" t="s">
        <v>42</v>
      </c>
      <c r="P24" s="10">
        <v>22</v>
      </c>
      <c r="Q24" s="10">
        <v>780</v>
      </c>
      <c r="R24" s="10">
        <v>28</v>
      </c>
      <c r="S24" s="11">
        <v>50.120839612977299</v>
      </c>
      <c r="T24" s="10" t="s">
        <v>43</v>
      </c>
      <c r="U24" s="10">
        <v>2.5912754732111098</v>
      </c>
      <c r="V24" s="10" t="s">
        <v>44</v>
      </c>
      <c r="W24" s="10" t="s">
        <v>38</v>
      </c>
      <c r="X24" s="11">
        <v>205.57199582694699</v>
      </c>
      <c r="Y24" s="11">
        <f>tbl_SupplyChaim[Shipping costs]+tbl_SupplyChaim[Manufacturing costs]+tbl_SupplyChaim[Costs]</f>
        <v>265.26048436084733</v>
      </c>
      <c r="Z24" s="11">
        <f>tbl_SupplyChaim[Revenue Generated]-tbl_SupplyChaim[Total_Cost]</f>
        <v>2125.5473821953228</v>
      </c>
      <c r="AA24" s="11">
        <f>IFERROR(tbl_SupplyChaim[[#This Row],[Revenue Generated]]-(tbl_SupplyChaim[[#This Row],[Total_Cost]]/tbl_SupplyChaim[Revenue Generated]),0)</f>
        <v>2390.6969164091211</v>
      </c>
      <c r="AB24" s="10">
        <f>tbl_SupplyChaim[Manufactuing Lead Time]+tbl_SupplyChaim[Shipping times]+tbl_SupplyChaim[Lead times]</f>
        <v>39</v>
      </c>
      <c r="AC24" s="11" t="str">
        <f>_xlfn.IFS(tbl_SupplyChaim[[#This Row],[Total Lead Time]]&gt;50,"HIGH RISK TIME",tbl_SupplyChaim[[#This Row],[Total Lead Time]]&gt;30,"MEDIUM","TRUE","OPTIMAL")</f>
        <v>MEDIUM</v>
      </c>
      <c r="AD24" s="15">
        <v>0.02</v>
      </c>
    </row>
    <row r="25" spans="1:30" ht="15.75" x14ac:dyDescent="0.25">
      <c r="A25" s="10" t="s">
        <v>54</v>
      </c>
      <c r="B25" s="10" t="s">
        <v>74</v>
      </c>
      <c r="C25" s="10">
        <v>4.3243411858641601</v>
      </c>
      <c r="D25" s="10">
        <v>30</v>
      </c>
      <c r="E25" s="10">
        <v>391</v>
      </c>
      <c r="F25" s="10">
        <v>8858.3675710114803</v>
      </c>
      <c r="G25" s="10" t="s">
        <v>35</v>
      </c>
      <c r="H25" s="10">
        <v>84</v>
      </c>
      <c r="I25" s="10">
        <v>5</v>
      </c>
      <c r="J25" s="10">
        <v>29</v>
      </c>
      <c r="K25" s="10">
        <v>7</v>
      </c>
      <c r="L25" s="10" t="s">
        <v>33</v>
      </c>
      <c r="M25" s="11">
        <v>2.92485760114555</v>
      </c>
      <c r="N25" s="10" t="s">
        <v>41</v>
      </c>
      <c r="O25" s="10" t="s">
        <v>42</v>
      </c>
      <c r="P25" s="10">
        <v>11</v>
      </c>
      <c r="Q25" s="10">
        <v>568</v>
      </c>
      <c r="R25" s="10">
        <v>29</v>
      </c>
      <c r="S25" s="11">
        <v>98.6099572427038</v>
      </c>
      <c r="T25" s="10" t="s">
        <v>27</v>
      </c>
      <c r="U25" s="10">
        <v>1.3422915627227301</v>
      </c>
      <c r="V25" s="10" t="s">
        <v>44</v>
      </c>
      <c r="W25" s="10" t="s">
        <v>45</v>
      </c>
      <c r="X25" s="11">
        <v>196.329446112412</v>
      </c>
      <c r="Y25" s="11">
        <f>tbl_SupplyChaim[Shipping costs]+tbl_SupplyChaim[Manufacturing costs]+tbl_SupplyChaim[Costs]</f>
        <v>297.86426095626132</v>
      </c>
      <c r="Z25" s="11">
        <f>tbl_SupplyChaim[Revenue Generated]-tbl_SupplyChaim[Total_Cost]</f>
        <v>8560.5033100552191</v>
      </c>
      <c r="AA25" s="11">
        <f>IFERROR(tbl_SupplyChaim[[#This Row],[Revenue Generated]]-(tbl_SupplyChaim[[#This Row],[Total_Cost]]/tbl_SupplyChaim[Revenue Generated]),0)</f>
        <v>8858.3339458250593</v>
      </c>
      <c r="AB25" s="10">
        <f>tbl_SupplyChaim[Manufactuing Lead Time]+tbl_SupplyChaim[Shipping times]+tbl_SupplyChaim[Lead times]</f>
        <v>41</v>
      </c>
      <c r="AC25" s="11" t="str">
        <f>_xlfn.IFS(tbl_SupplyChaim[[#This Row],[Total Lead Time]]&gt;50,"HIGH RISK TIME",tbl_SupplyChaim[[#This Row],[Total Lead Time]]&gt;30,"MEDIUM","TRUE","OPTIMAL")</f>
        <v>MEDIUM</v>
      </c>
      <c r="AD25" s="15">
        <v>0.02</v>
      </c>
    </row>
    <row r="26" spans="1:30" ht="15.75" x14ac:dyDescent="0.25">
      <c r="A26" s="10" t="s">
        <v>21</v>
      </c>
      <c r="B26" s="10" t="s">
        <v>75</v>
      </c>
      <c r="C26" s="10">
        <v>4.1563083593111001</v>
      </c>
      <c r="D26" s="10">
        <v>32</v>
      </c>
      <c r="E26" s="10">
        <v>209</v>
      </c>
      <c r="F26" s="10">
        <v>9049.0778609398894</v>
      </c>
      <c r="G26" s="10" t="s">
        <v>52</v>
      </c>
      <c r="H26" s="10">
        <v>4</v>
      </c>
      <c r="I26" s="10">
        <v>26</v>
      </c>
      <c r="J26" s="10">
        <v>2</v>
      </c>
      <c r="K26" s="10">
        <v>8</v>
      </c>
      <c r="L26" s="10" t="s">
        <v>40</v>
      </c>
      <c r="M26" s="11">
        <v>9.7412916892843597</v>
      </c>
      <c r="N26" s="10" t="s">
        <v>58</v>
      </c>
      <c r="O26" s="10" t="s">
        <v>50</v>
      </c>
      <c r="P26" s="10">
        <v>28</v>
      </c>
      <c r="Q26" s="10">
        <v>447</v>
      </c>
      <c r="R26" s="10">
        <v>3</v>
      </c>
      <c r="S26" s="11">
        <v>40.382359702924802</v>
      </c>
      <c r="T26" s="10" t="s">
        <v>27</v>
      </c>
      <c r="U26" s="10">
        <v>3.69131029262872</v>
      </c>
      <c r="V26" s="10" t="s">
        <v>37</v>
      </c>
      <c r="W26" s="10" t="s">
        <v>45</v>
      </c>
      <c r="X26" s="11">
        <v>758.72477260293795</v>
      </c>
      <c r="Y26" s="11">
        <f>tbl_SupplyChaim[Shipping costs]+tbl_SupplyChaim[Manufacturing costs]+tbl_SupplyChaim[Costs]</f>
        <v>808.84842399514707</v>
      </c>
      <c r="Z26" s="11">
        <f>tbl_SupplyChaim[Revenue Generated]-tbl_SupplyChaim[Total_Cost]</f>
        <v>8240.2294369447427</v>
      </c>
      <c r="AA26" s="11">
        <f>IFERROR(tbl_SupplyChaim[[#This Row],[Revenue Generated]]-(tbl_SupplyChaim[[#This Row],[Total_Cost]]/tbl_SupplyChaim[Revenue Generated]),0)</f>
        <v>9048.9884763156861</v>
      </c>
      <c r="AB26" s="10">
        <f>tbl_SupplyChaim[Manufactuing Lead Time]+tbl_SupplyChaim[Shipping times]+tbl_SupplyChaim[Lead times]</f>
        <v>37</v>
      </c>
      <c r="AC26" s="11" t="str">
        <f>_xlfn.IFS(tbl_SupplyChaim[[#This Row],[Total Lead Time]]&gt;50,"HIGH RISK TIME",tbl_SupplyChaim[[#This Row],[Total Lead Time]]&gt;30,"MEDIUM","TRUE","OPTIMAL")</f>
        <v>MEDIUM</v>
      </c>
      <c r="AD26" s="15">
        <v>0.02</v>
      </c>
    </row>
    <row r="27" spans="1:30" ht="15.75" x14ac:dyDescent="0.25">
      <c r="A27" s="10" t="s">
        <v>21</v>
      </c>
      <c r="B27" s="10" t="s">
        <v>76</v>
      </c>
      <c r="C27" s="10">
        <v>39.629343985092603</v>
      </c>
      <c r="D27" s="10">
        <v>73</v>
      </c>
      <c r="E27" s="10">
        <v>142</v>
      </c>
      <c r="F27" s="10">
        <v>2174.7770543506499</v>
      </c>
      <c r="G27" s="10" t="s">
        <v>52</v>
      </c>
      <c r="H27" s="10">
        <v>82</v>
      </c>
      <c r="I27" s="10">
        <v>11</v>
      </c>
      <c r="J27" s="10">
        <v>52</v>
      </c>
      <c r="K27" s="10">
        <v>3</v>
      </c>
      <c r="L27" s="10" t="s">
        <v>40</v>
      </c>
      <c r="M27" s="11">
        <v>2.2310736812817198</v>
      </c>
      <c r="N27" s="10" t="s">
        <v>49</v>
      </c>
      <c r="O27" s="10" t="s">
        <v>42</v>
      </c>
      <c r="P27" s="10">
        <v>19</v>
      </c>
      <c r="Q27" s="10">
        <v>934</v>
      </c>
      <c r="R27" s="10">
        <v>23</v>
      </c>
      <c r="S27" s="11">
        <v>78.280383118415301</v>
      </c>
      <c r="T27" s="10" t="s">
        <v>27</v>
      </c>
      <c r="U27" s="10">
        <v>3.79723121711418</v>
      </c>
      <c r="V27" s="10" t="s">
        <v>28</v>
      </c>
      <c r="W27" s="10" t="s">
        <v>29</v>
      </c>
      <c r="X27" s="11">
        <v>458.53594573920901</v>
      </c>
      <c r="Y27" s="11">
        <f>tbl_SupplyChaim[Shipping costs]+tbl_SupplyChaim[Manufacturing costs]+tbl_SupplyChaim[Costs]</f>
        <v>539.047402538906</v>
      </c>
      <c r="Z27" s="11">
        <f>tbl_SupplyChaim[Revenue Generated]-tbl_SupplyChaim[Total_Cost]</f>
        <v>1635.7296518117439</v>
      </c>
      <c r="AA27" s="11">
        <f>IFERROR(tbl_SupplyChaim[[#This Row],[Revenue Generated]]-(tbl_SupplyChaim[[#This Row],[Total_Cost]]/tbl_SupplyChaim[Revenue Generated]),0)</f>
        <v>2174.5291910575088</v>
      </c>
      <c r="AB27" s="10">
        <f>tbl_SupplyChaim[Manufactuing Lead Time]+tbl_SupplyChaim[Shipping times]+tbl_SupplyChaim[Lead times]</f>
        <v>37</v>
      </c>
      <c r="AC27" s="11" t="str">
        <f>_xlfn.IFS(tbl_SupplyChaim[[#This Row],[Total Lead Time]]&gt;50,"HIGH RISK TIME",tbl_SupplyChaim[[#This Row],[Total Lead Time]]&gt;30,"MEDIUM","TRUE","OPTIMAL")</f>
        <v>MEDIUM</v>
      </c>
      <c r="AD27" s="15">
        <v>0.02</v>
      </c>
    </row>
    <row r="28" spans="1:30" ht="15.75" x14ac:dyDescent="0.25">
      <c r="A28" s="10" t="s">
        <v>21</v>
      </c>
      <c r="B28" s="10" t="s">
        <v>77</v>
      </c>
      <c r="C28" s="10">
        <v>97.446946617892806</v>
      </c>
      <c r="D28" s="10">
        <v>9</v>
      </c>
      <c r="E28" s="10">
        <v>353</v>
      </c>
      <c r="F28" s="10">
        <v>3716.49332589403</v>
      </c>
      <c r="G28" s="10" t="s">
        <v>52</v>
      </c>
      <c r="H28" s="10">
        <v>59</v>
      </c>
      <c r="I28" s="10">
        <v>16</v>
      </c>
      <c r="J28" s="10">
        <v>48</v>
      </c>
      <c r="K28" s="10">
        <v>4</v>
      </c>
      <c r="L28" s="10" t="s">
        <v>24</v>
      </c>
      <c r="M28" s="11">
        <v>6.5075486210785503</v>
      </c>
      <c r="N28" s="10" t="s">
        <v>58</v>
      </c>
      <c r="O28" s="10" t="s">
        <v>50</v>
      </c>
      <c r="P28" s="10">
        <v>26</v>
      </c>
      <c r="Q28" s="10">
        <v>171</v>
      </c>
      <c r="R28" s="10">
        <v>4</v>
      </c>
      <c r="S28" s="11">
        <v>15.972229757181699</v>
      </c>
      <c r="T28" s="10" t="s">
        <v>61</v>
      </c>
      <c r="U28" s="10">
        <v>2.1193197367249201</v>
      </c>
      <c r="V28" s="10" t="s">
        <v>44</v>
      </c>
      <c r="W28" s="10" t="s">
        <v>45</v>
      </c>
      <c r="X28" s="11">
        <v>617.86691645837698</v>
      </c>
      <c r="Y28" s="11">
        <f>tbl_SupplyChaim[Shipping costs]+tbl_SupplyChaim[Manufacturing costs]+tbl_SupplyChaim[Costs]</f>
        <v>640.3466948366372</v>
      </c>
      <c r="Z28" s="11">
        <f>tbl_SupplyChaim[Revenue Generated]-tbl_SupplyChaim[Total_Cost]</f>
        <v>3076.1466310573928</v>
      </c>
      <c r="AA28" s="11">
        <f>IFERROR(tbl_SupplyChaim[[#This Row],[Revenue Generated]]-(tbl_SupplyChaim[[#This Row],[Total_Cost]]/tbl_SupplyChaim[Revenue Generated]),0)</f>
        <v>3716.3210272676947</v>
      </c>
      <c r="AB28" s="10">
        <f>tbl_SupplyChaim[Manufactuing Lead Time]+tbl_SupplyChaim[Shipping times]+tbl_SupplyChaim[Lead times]</f>
        <v>24</v>
      </c>
      <c r="AC28" s="11" t="str">
        <f>_xlfn.IFS(tbl_SupplyChaim[[#This Row],[Total Lead Time]]&gt;50,"HIGH RISK TIME",tbl_SupplyChaim[[#This Row],[Total Lead Time]]&gt;30,"MEDIUM","TRUE","OPTIMAL")</f>
        <v>OPTIMAL</v>
      </c>
      <c r="AD28" s="15">
        <v>0.02</v>
      </c>
    </row>
    <row r="29" spans="1:30" ht="15.75" x14ac:dyDescent="0.25">
      <c r="A29" s="10" t="s">
        <v>54</v>
      </c>
      <c r="B29" s="10" t="s">
        <v>78</v>
      </c>
      <c r="C29" s="10">
        <v>92.557360812401996</v>
      </c>
      <c r="D29" s="10">
        <v>42</v>
      </c>
      <c r="E29" s="10">
        <v>352</v>
      </c>
      <c r="F29" s="10">
        <v>2686.4572235759802</v>
      </c>
      <c r="G29" s="10" t="s">
        <v>35</v>
      </c>
      <c r="H29" s="10">
        <v>47</v>
      </c>
      <c r="I29" s="10">
        <v>9</v>
      </c>
      <c r="J29" s="10">
        <v>62</v>
      </c>
      <c r="K29" s="10">
        <v>8</v>
      </c>
      <c r="L29" s="10" t="s">
        <v>40</v>
      </c>
      <c r="M29" s="11">
        <v>7.4067509529980704</v>
      </c>
      <c r="N29" s="10" t="s">
        <v>41</v>
      </c>
      <c r="O29" s="10" t="s">
        <v>26</v>
      </c>
      <c r="P29" s="10">
        <v>25</v>
      </c>
      <c r="Q29" s="10">
        <v>291</v>
      </c>
      <c r="R29" s="10">
        <v>4</v>
      </c>
      <c r="S29" s="11">
        <v>10.5282450700421</v>
      </c>
      <c r="T29" s="10" t="s">
        <v>43</v>
      </c>
      <c r="U29" s="10">
        <v>2.8646678378833701</v>
      </c>
      <c r="V29" s="10" t="s">
        <v>53</v>
      </c>
      <c r="W29" s="10" t="s">
        <v>29</v>
      </c>
      <c r="X29" s="11">
        <v>762.45918215568304</v>
      </c>
      <c r="Y29" s="11">
        <f>tbl_SupplyChaim[Shipping costs]+tbl_SupplyChaim[Manufacturing costs]+tbl_SupplyChaim[Costs]</f>
        <v>780.39417817872322</v>
      </c>
      <c r="Z29" s="11">
        <f>tbl_SupplyChaim[Revenue Generated]-tbl_SupplyChaim[Total_Cost]</f>
        <v>1906.0630453972569</v>
      </c>
      <c r="AA29" s="11">
        <f>IFERROR(tbl_SupplyChaim[[#This Row],[Revenue Generated]]-(tbl_SupplyChaim[[#This Row],[Total_Cost]]/tbl_SupplyChaim[Revenue Generated]),0)</f>
        <v>2686.1667316331605</v>
      </c>
      <c r="AB29" s="10">
        <f>tbl_SupplyChaim[Manufactuing Lead Time]+tbl_SupplyChaim[Shipping times]+tbl_SupplyChaim[Lead times]</f>
        <v>21</v>
      </c>
      <c r="AC29" s="11" t="str">
        <f>_xlfn.IFS(tbl_SupplyChaim[[#This Row],[Total Lead Time]]&gt;50,"HIGH RISK TIME",tbl_SupplyChaim[[#This Row],[Total Lead Time]]&gt;30,"MEDIUM","TRUE","OPTIMAL")</f>
        <v>OPTIMAL</v>
      </c>
      <c r="AD29" s="15">
        <v>0.02</v>
      </c>
    </row>
    <row r="30" spans="1:30" ht="15.75" x14ac:dyDescent="0.25">
      <c r="A30" s="10" t="s">
        <v>54</v>
      </c>
      <c r="B30" s="10" t="s">
        <v>79</v>
      </c>
      <c r="C30" s="10">
        <v>2.3972747055971402</v>
      </c>
      <c r="D30" s="10">
        <v>12</v>
      </c>
      <c r="E30" s="10">
        <v>394</v>
      </c>
      <c r="F30" s="10">
        <v>6117.3246150839896</v>
      </c>
      <c r="G30" s="10" t="s">
        <v>32</v>
      </c>
      <c r="H30" s="10">
        <v>48</v>
      </c>
      <c r="I30" s="10">
        <v>15</v>
      </c>
      <c r="J30" s="10">
        <v>24</v>
      </c>
      <c r="K30" s="10">
        <v>4</v>
      </c>
      <c r="L30" s="10" t="s">
        <v>24</v>
      </c>
      <c r="M30" s="11">
        <v>9.8981405080692202</v>
      </c>
      <c r="N30" s="10" t="s">
        <v>36</v>
      </c>
      <c r="O30" s="10" t="s">
        <v>26</v>
      </c>
      <c r="P30" s="10">
        <v>13</v>
      </c>
      <c r="Q30" s="10">
        <v>171</v>
      </c>
      <c r="R30" s="10">
        <v>7</v>
      </c>
      <c r="S30" s="11">
        <v>59.429381810691503</v>
      </c>
      <c r="T30" s="10" t="s">
        <v>43</v>
      </c>
      <c r="U30" s="10">
        <v>0.81575707929567198</v>
      </c>
      <c r="V30" s="10" t="s">
        <v>37</v>
      </c>
      <c r="W30" s="10" t="s">
        <v>45</v>
      </c>
      <c r="X30" s="11">
        <v>123.437027511827</v>
      </c>
      <c r="Y30" s="11">
        <f>tbl_SupplyChaim[Shipping costs]+tbl_SupplyChaim[Manufacturing costs]+tbl_SupplyChaim[Costs]</f>
        <v>192.76454983058773</v>
      </c>
      <c r="Z30" s="11">
        <f>tbl_SupplyChaim[Revenue Generated]-tbl_SupplyChaim[Total_Cost]</f>
        <v>5924.5600652534022</v>
      </c>
      <c r="AA30" s="11">
        <f>IFERROR(tbl_SupplyChaim[[#This Row],[Revenue Generated]]-(tbl_SupplyChaim[[#This Row],[Total_Cost]]/tbl_SupplyChaim[Revenue Generated]),0)</f>
        <v>6117.2931038332454</v>
      </c>
      <c r="AB30" s="10">
        <f>tbl_SupplyChaim[Manufactuing Lead Time]+tbl_SupplyChaim[Shipping times]+tbl_SupplyChaim[Lead times]</f>
        <v>26</v>
      </c>
      <c r="AC30" s="11" t="str">
        <f>_xlfn.IFS(tbl_SupplyChaim[[#This Row],[Total Lead Time]]&gt;50,"HIGH RISK TIME",tbl_SupplyChaim[[#This Row],[Total Lead Time]]&gt;30,"MEDIUM","TRUE","OPTIMAL")</f>
        <v>OPTIMAL</v>
      </c>
      <c r="AD30" s="15">
        <v>0.02</v>
      </c>
    </row>
    <row r="31" spans="1:30" ht="15.75" x14ac:dyDescent="0.25">
      <c r="A31" s="10" t="s">
        <v>54</v>
      </c>
      <c r="B31" s="10" t="s">
        <v>80</v>
      </c>
      <c r="C31" s="10">
        <v>63.447559185207297</v>
      </c>
      <c r="D31" s="10">
        <v>3</v>
      </c>
      <c r="E31" s="10">
        <v>253</v>
      </c>
      <c r="F31" s="10">
        <v>8318.9031946171708</v>
      </c>
      <c r="G31" s="10" t="s">
        <v>32</v>
      </c>
      <c r="H31" s="10">
        <v>45</v>
      </c>
      <c r="I31" s="10">
        <v>5</v>
      </c>
      <c r="J31" s="10">
        <v>67</v>
      </c>
      <c r="K31" s="10">
        <v>7</v>
      </c>
      <c r="L31" s="10" t="s">
        <v>24</v>
      </c>
      <c r="M31" s="11">
        <v>8.1009731453970293</v>
      </c>
      <c r="N31" s="10" t="s">
        <v>36</v>
      </c>
      <c r="O31" s="10" t="s">
        <v>42</v>
      </c>
      <c r="P31" s="10">
        <v>16</v>
      </c>
      <c r="Q31" s="10">
        <v>329</v>
      </c>
      <c r="R31" s="10">
        <v>7</v>
      </c>
      <c r="S31" s="11">
        <v>39.292875586065698</v>
      </c>
      <c r="T31" s="10" t="s">
        <v>61</v>
      </c>
      <c r="U31" s="10">
        <v>3.8780989365884802</v>
      </c>
      <c r="V31" s="10" t="s">
        <v>28</v>
      </c>
      <c r="W31" s="10" t="s">
        <v>29</v>
      </c>
      <c r="X31" s="11">
        <v>764.93537594070801</v>
      </c>
      <c r="Y31" s="11">
        <f>tbl_SupplyChaim[Shipping costs]+tbl_SupplyChaim[Manufacturing costs]+tbl_SupplyChaim[Costs]</f>
        <v>812.32922467217077</v>
      </c>
      <c r="Z31" s="11">
        <f>tbl_SupplyChaim[Revenue Generated]-tbl_SupplyChaim[Total_Cost]</f>
        <v>7506.5739699450005</v>
      </c>
      <c r="AA31" s="11">
        <f>IFERROR(tbl_SupplyChaim[[#This Row],[Revenue Generated]]-(tbl_SupplyChaim[[#This Row],[Total_Cost]]/tbl_SupplyChaim[Revenue Generated]),0)</f>
        <v>8318.8055460202741</v>
      </c>
      <c r="AB31" s="10">
        <f>tbl_SupplyChaim[Manufactuing Lead Time]+tbl_SupplyChaim[Shipping times]+tbl_SupplyChaim[Lead times]</f>
        <v>19</v>
      </c>
      <c r="AC31" s="11" t="str">
        <f>_xlfn.IFS(tbl_SupplyChaim[[#This Row],[Total Lead Time]]&gt;50,"HIGH RISK TIME",tbl_SupplyChaim[[#This Row],[Total Lead Time]]&gt;30,"MEDIUM","TRUE","OPTIMAL")</f>
        <v>OPTIMAL</v>
      </c>
      <c r="AD31" s="15">
        <v>0.02</v>
      </c>
    </row>
    <row r="32" spans="1:30" ht="15.75" x14ac:dyDescent="0.25">
      <c r="A32" s="10" t="s">
        <v>21</v>
      </c>
      <c r="B32" s="10" t="s">
        <v>81</v>
      </c>
      <c r="C32" s="10">
        <v>8.0228592105263896</v>
      </c>
      <c r="D32" s="10">
        <v>10</v>
      </c>
      <c r="E32" s="10">
        <v>327</v>
      </c>
      <c r="F32" s="10">
        <v>2766.3423668660798</v>
      </c>
      <c r="G32" s="10" t="s">
        <v>52</v>
      </c>
      <c r="H32" s="10">
        <v>60</v>
      </c>
      <c r="I32" s="10">
        <v>26</v>
      </c>
      <c r="J32" s="10">
        <v>35</v>
      </c>
      <c r="K32" s="10">
        <v>7</v>
      </c>
      <c r="L32" s="10" t="s">
        <v>24</v>
      </c>
      <c r="M32" s="11">
        <v>8.9545283153180097</v>
      </c>
      <c r="N32" s="10" t="s">
        <v>49</v>
      </c>
      <c r="O32" s="10" t="s">
        <v>42</v>
      </c>
      <c r="P32" s="10">
        <v>27</v>
      </c>
      <c r="Q32" s="10">
        <v>806</v>
      </c>
      <c r="R32" s="10">
        <v>30</v>
      </c>
      <c r="S32" s="11">
        <v>51.634893400109299</v>
      </c>
      <c r="T32" s="10" t="s">
        <v>27</v>
      </c>
      <c r="U32" s="10">
        <v>0.96539470535239302</v>
      </c>
      <c r="V32" s="10" t="s">
        <v>28</v>
      </c>
      <c r="W32" s="10" t="s">
        <v>38</v>
      </c>
      <c r="X32" s="11">
        <v>880.08098824716103</v>
      </c>
      <c r="Y32" s="11">
        <f>tbl_SupplyChaim[Shipping costs]+tbl_SupplyChaim[Manufacturing costs]+tbl_SupplyChaim[Costs]</f>
        <v>940.67040996258834</v>
      </c>
      <c r="Z32" s="11">
        <f>tbl_SupplyChaim[Revenue Generated]-tbl_SupplyChaim[Total_Cost]</f>
        <v>1825.6719569034915</v>
      </c>
      <c r="AA32" s="11">
        <f>IFERROR(tbl_SupplyChaim[[#This Row],[Revenue Generated]]-(tbl_SupplyChaim[[#This Row],[Total_Cost]]/tbl_SupplyChaim[Revenue Generated]),0)</f>
        <v>2766.0023256545401</v>
      </c>
      <c r="AB32" s="10">
        <f>tbl_SupplyChaim[Manufactuing Lead Time]+tbl_SupplyChaim[Shipping times]+tbl_SupplyChaim[Lead times]</f>
        <v>63</v>
      </c>
      <c r="AC32" s="11" t="str">
        <f>_xlfn.IFS(tbl_SupplyChaim[[#This Row],[Total Lead Time]]&gt;50,"HIGH RISK TIME",tbl_SupplyChaim[[#This Row],[Total Lead Time]]&gt;30,"MEDIUM","TRUE","OPTIMAL")</f>
        <v>HIGH RISK TIME</v>
      </c>
      <c r="AD32" s="15">
        <v>0.02</v>
      </c>
    </row>
    <row r="33" spans="1:30" ht="15.75" x14ac:dyDescent="0.25">
      <c r="A33" s="10" t="s">
        <v>30</v>
      </c>
      <c r="B33" s="10" t="s">
        <v>82</v>
      </c>
      <c r="C33" s="10">
        <v>50.847393051718697</v>
      </c>
      <c r="D33" s="10">
        <v>28</v>
      </c>
      <c r="E33" s="10">
        <v>168</v>
      </c>
      <c r="F33" s="10">
        <v>9655.1351027193905</v>
      </c>
      <c r="G33" s="10" t="s">
        <v>52</v>
      </c>
      <c r="H33" s="10">
        <v>6</v>
      </c>
      <c r="I33" s="10">
        <v>17</v>
      </c>
      <c r="J33" s="10">
        <v>44</v>
      </c>
      <c r="K33" s="10">
        <v>4</v>
      </c>
      <c r="L33" s="10" t="s">
        <v>24</v>
      </c>
      <c r="M33" s="11">
        <v>2.6796609649813998</v>
      </c>
      <c r="N33" s="10" t="s">
        <v>25</v>
      </c>
      <c r="O33" s="10" t="s">
        <v>59</v>
      </c>
      <c r="P33" s="10">
        <v>24</v>
      </c>
      <c r="Q33" s="10">
        <v>461</v>
      </c>
      <c r="R33" s="10">
        <v>8</v>
      </c>
      <c r="S33" s="11">
        <v>60.251145661598002</v>
      </c>
      <c r="T33" s="10" t="s">
        <v>27</v>
      </c>
      <c r="U33" s="10">
        <v>2.9890000066550702</v>
      </c>
      <c r="V33" s="10" t="s">
        <v>44</v>
      </c>
      <c r="W33" s="10" t="s">
        <v>38</v>
      </c>
      <c r="X33" s="11">
        <v>609.379206618426</v>
      </c>
      <c r="Y33" s="11">
        <f>tbl_SupplyChaim[Shipping costs]+tbl_SupplyChaim[Manufacturing costs]+tbl_SupplyChaim[Costs]</f>
        <v>672.31001324500539</v>
      </c>
      <c r="Z33" s="11">
        <f>tbl_SupplyChaim[Revenue Generated]-tbl_SupplyChaim[Total_Cost]</f>
        <v>8982.8250894743851</v>
      </c>
      <c r="AA33" s="11">
        <f>IFERROR(tbl_SupplyChaim[[#This Row],[Revenue Generated]]-(tbl_SupplyChaim[[#This Row],[Total_Cost]]/tbl_SupplyChaim[Revenue Generated]),0)</f>
        <v>9655.0654703417913</v>
      </c>
      <c r="AB33" s="10">
        <f>tbl_SupplyChaim[Manufactuing Lead Time]+tbl_SupplyChaim[Shipping times]+tbl_SupplyChaim[Lead times]</f>
        <v>29</v>
      </c>
      <c r="AC33" s="11" t="str">
        <f>_xlfn.IFS(tbl_SupplyChaim[[#This Row],[Total Lead Time]]&gt;50,"HIGH RISK TIME",tbl_SupplyChaim[[#This Row],[Total Lead Time]]&gt;30,"MEDIUM","TRUE","OPTIMAL")</f>
        <v>OPTIMAL</v>
      </c>
      <c r="AD33" s="15">
        <v>0.02</v>
      </c>
    </row>
    <row r="34" spans="1:30" ht="15.75" x14ac:dyDescent="0.25">
      <c r="A34" s="10" t="s">
        <v>30</v>
      </c>
      <c r="B34" s="10" t="s">
        <v>83</v>
      </c>
      <c r="C34" s="10">
        <v>79.209936015656695</v>
      </c>
      <c r="D34" s="10">
        <v>43</v>
      </c>
      <c r="E34" s="10">
        <v>781</v>
      </c>
      <c r="F34" s="10">
        <v>9571.5504873278096</v>
      </c>
      <c r="G34" s="10" t="s">
        <v>35</v>
      </c>
      <c r="H34" s="10">
        <v>89</v>
      </c>
      <c r="I34" s="10">
        <v>13</v>
      </c>
      <c r="J34" s="10">
        <v>64</v>
      </c>
      <c r="K34" s="10">
        <v>4</v>
      </c>
      <c r="L34" s="10" t="s">
        <v>40</v>
      </c>
      <c r="M34" s="11">
        <v>6.5991049012385803</v>
      </c>
      <c r="N34" s="10" t="s">
        <v>25</v>
      </c>
      <c r="O34" s="10" t="s">
        <v>42</v>
      </c>
      <c r="P34" s="10">
        <v>30</v>
      </c>
      <c r="Q34" s="10">
        <v>737</v>
      </c>
      <c r="R34" s="10">
        <v>7</v>
      </c>
      <c r="S34" s="11">
        <v>29.6924671537497</v>
      </c>
      <c r="T34" s="10" t="s">
        <v>61</v>
      </c>
      <c r="U34" s="10">
        <v>1.94603611938611</v>
      </c>
      <c r="V34" s="10" t="s">
        <v>28</v>
      </c>
      <c r="W34" s="10" t="s">
        <v>45</v>
      </c>
      <c r="X34" s="11">
        <v>761.17390951487698</v>
      </c>
      <c r="Y34" s="11">
        <f>tbl_SupplyChaim[Shipping costs]+tbl_SupplyChaim[Manufacturing costs]+tbl_SupplyChaim[Costs]</f>
        <v>797.46548156986523</v>
      </c>
      <c r="Z34" s="11">
        <f>tbl_SupplyChaim[Revenue Generated]-tbl_SupplyChaim[Total_Cost]</f>
        <v>8774.0850057579446</v>
      </c>
      <c r="AA34" s="11">
        <f>IFERROR(tbl_SupplyChaim[[#This Row],[Revenue Generated]]-(tbl_SupplyChaim[[#This Row],[Total_Cost]]/tbl_SupplyChaim[Revenue Generated]),0)</f>
        <v>9571.4671710999301</v>
      </c>
      <c r="AB34" s="10">
        <f>tbl_SupplyChaim[Manufactuing Lead Time]+tbl_SupplyChaim[Shipping times]+tbl_SupplyChaim[Lead times]</f>
        <v>24</v>
      </c>
      <c r="AC34" s="11" t="str">
        <f>_xlfn.IFS(tbl_SupplyChaim[[#This Row],[Total Lead Time]]&gt;50,"HIGH RISK TIME",tbl_SupplyChaim[[#This Row],[Total Lead Time]]&gt;30,"MEDIUM","TRUE","OPTIMAL")</f>
        <v>OPTIMAL</v>
      </c>
      <c r="AD34" s="15">
        <v>0.02</v>
      </c>
    </row>
    <row r="35" spans="1:30" ht="15.75" x14ac:dyDescent="0.25">
      <c r="A35" s="10" t="s">
        <v>54</v>
      </c>
      <c r="B35" s="10" t="s">
        <v>84</v>
      </c>
      <c r="C35" s="10">
        <v>64.795435000155607</v>
      </c>
      <c r="D35" s="10">
        <v>63</v>
      </c>
      <c r="E35" s="10">
        <v>616</v>
      </c>
      <c r="F35" s="10">
        <v>5149.9983504080301</v>
      </c>
      <c r="G35" s="10" t="s">
        <v>23</v>
      </c>
      <c r="H35" s="10">
        <v>4</v>
      </c>
      <c r="I35" s="10">
        <v>17</v>
      </c>
      <c r="J35" s="10">
        <v>95</v>
      </c>
      <c r="K35" s="10">
        <v>9</v>
      </c>
      <c r="L35" s="10" t="s">
        <v>40</v>
      </c>
      <c r="M35" s="11">
        <v>4.85827050343664</v>
      </c>
      <c r="N35" s="10" t="s">
        <v>41</v>
      </c>
      <c r="O35" s="10" t="s">
        <v>59</v>
      </c>
      <c r="P35" s="10">
        <v>1</v>
      </c>
      <c r="Q35" s="10">
        <v>251</v>
      </c>
      <c r="R35" s="10">
        <v>23</v>
      </c>
      <c r="S35" s="11">
        <v>23.853427512896101</v>
      </c>
      <c r="T35" s="10" t="s">
        <v>43</v>
      </c>
      <c r="U35" s="10">
        <v>3.54104601225092</v>
      </c>
      <c r="V35" s="10" t="s">
        <v>53</v>
      </c>
      <c r="W35" s="10" t="s">
        <v>45</v>
      </c>
      <c r="X35" s="11">
        <v>371.25529551987103</v>
      </c>
      <c r="Y35" s="11">
        <f>tbl_SupplyChaim[Shipping costs]+tbl_SupplyChaim[Manufacturing costs]+tbl_SupplyChaim[Costs]</f>
        <v>399.96699353620374</v>
      </c>
      <c r="Z35" s="11">
        <f>tbl_SupplyChaim[Revenue Generated]-tbl_SupplyChaim[Total_Cost]</f>
        <v>4750.0313568718266</v>
      </c>
      <c r="AA35" s="11">
        <f>IFERROR(tbl_SupplyChaim[[#This Row],[Revenue Generated]]-(tbl_SupplyChaim[[#This Row],[Total_Cost]]/tbl_SupplyChaim[Revenue Generated]),0)</f>
        <v>5149.9206868892634</v>
      </c>
      <c r="AB35" s="10">
        <f>tbl_SupplyChaim[Manufactuing Lead Time]+tbl_SupplyChaim[Shipping times]+tbl_SupplyChaim[Lead times]</f>
        <v>49</v>
      </c>
      <c r="AC35" s="11" t="str">
        <f>_xlfn.IFS(tbl_SupplyChaim[[#This Row],[Total Lead Time]]&gt;50,"HIGH RISK TIME",tbl_SupplyChaim[[#This Row],[Total Lead Time]]&gt;30,"MEDIUM","TRUE","OPTIMAL")</f>
        <v>MEDIUM</v>
      </c>
      <c r="AD35" s="15">
        <v>0.02</v>
      </c>
    </row>
    <row r="36" spans="1:30" ht="15.75" x14ac:dyDescent="0.25">
      <c r="A36" s="10" t="s">
        <v>30</v>
      </c>
      <c r="B36" s="10" t="s">
        <v>85</v>
      </c>
      <c r="C36" s="10">
        <v>37.467592329842397</v>
      </c>
      <c r="D36" s="10">
        <v>96</v>
      </c>
      <c r="E36" s="10">
        <v>602</v>
      </c>
      <c r="F36" s="10">
        <v>9061.7108955077201</v>
      </c>
      <c r="G36" s="10" t="s">
        <v>35</v>
      </c>
      <c r="H36" s="10">
        <v>1</v>
      </c>
      <c r="I36" s="10">
        <v>26</v>
      </c>
      <c r="J36" s="10">
        <v>21</v>
      </c>
      <c r="K36" s="10">
        <v>7</v>
      </c>
      <c r="L36" s="10" t="s">
        <v>33</v>
      </c>
      <c r="M36" s="11">
        <v>1.0194875708221101</v>
      </c>
      <c r="N36" s="10" t="s">
        <v>36</v>
      </c>
      <c r="O36" s="10" t="s">
        <v>59</v>
      </c>
      <c r="P36" s="10">
        <v>4</v>
      </c>
      <c r="Q36" s="10">
        <v>452</v>
      </c>
      <c r="R36" s="10">
        <v>10</v>
      </c>
      <c r="S36" s="11">
        <v>10.754272815029299</v>
      </c>
      <c r="T36" s="10" t="s">
        <v>61</v>
      </c>
      <c r="U36" s="10">
        <v>0.64660455937205397</v>
      </c>
      <c r="V36" s="10" t="s">
        <v>28</v>
      </c>
      <c r="W36" s="10" t="s">
        <v>29</v>
      </c>
      <c r="X36" s="11">
        <v>510.35800043352299</v>
      </c>
      <c r="Y36" s="11">
        <f>tbl_SupplyChaim[Shipping costs]+tbl_SupplyChaim[Manufacturing costs]+tbl_SupplyChaim[Costs]</f>
        <v>522.13176081937445</v>
      </c>
      <c r="Z36" s="11">
        <f>tbl_SupplyChaim[Revenue Generated]-tbl_SupplyChaim[Total_Cost]</f>
        <v>8539.5791346883452</v>
      </c>
      <c r="AA36" s="11">
        <f>IFERROR(tbl_SupplyChaim[[#This Row],[Revenue Generated]]-(tbl_SupplyChaim[[#This Row],[Total_Cost]]/tbl_SupplyChaim[Revenue Generated]),0)</f>
        <v>9061.6532759514539</v>
      </c>
      <c r="AB36" s="10">
        <f>tbl_SupplyChaim[Manufactuing Lead Time]+tbl_SupplyChaim[Shipping times]+tbl_SupplyChaim[Lead times]</f>
        <v>43</v>
      </c>
      <c r="AC36" s="11" t="str">
        <f>_xlfn.IFS(tbl_SupplyChaim[[#This Row],[Total Lead Time]]&gt;50,"HIGH RISK TIME",tbl_SupplyChaim[[#This Row],[Total Lead Time]]&gt;30,"MEDIUM","TRUE","OPTIMAL")</f>
        <v>MEDIUM</v>
      </c>
      <c r="AD36" s="15">
        <v>0.02</v>
      </c>
    </row>
    <row r="37" spans="1:30" ht="15.75" x14ac:dyDescent="0.25">
      <c r="A37" s="10" t="s">
        <v>54</v>
      </c>
      <c r="B37" s="10" t="s">
        <v>86</v>
      </c>
      <c r="C37" s="10">
        <v>84.957786816350406</v>
      </c>
      <c r="D37" s="10">
        <v>11</v>
      </c>
      <c r="E37" s="10">
        <v>449</v>
      </c>
      <c r="F37" s="10">
        <v>6541.3293448024597</v>
      </c>
      <c r="G37" s="10" t="s">
        <v>32</v>
      </c>
      <c r="H37" s="10">
        <v>42</v>
      </c>
      <c r="I37" s="10">
        <v>27</v>
      </c>
      <c r="J37" s="10">
        <v>85</v>
      </c>
      <c r="K37" s="10">
        <v>8</v>
      </c>
      <c r="L37" s="10" t="s">
        <v>40</v>
      </c>
      <c r="M37" s="11">
        <v>5.2881899903273997</v>
      </c>
      <c r="N37" s="10" t="s">
        <v>36</v>
      </c>
      <c r="O37" s="10" t="s">
        <v>47</v>
      </c>
      <c r="P37" s="10">
        <v>3</v>
      </c>
      <c r="Q37" s="10">
        <v>367</v>
      </c>
      <c r="R37" s="10">
        <v>2</v>
      </c>
      <c r="S37" s="11">
        <v>58.004787044743701</v>
      </c>
      <c r="T37" s="10" t="s">
        <v>61</v>
      </c>
      <c r="U37" s="10">
        <v>0.54115409806058101</v>
      </c>
      <c r="V37" s="10" t="s">
        <v>53</v>
      </c>
      <c r="W37" s="10" t="s">
        <v>38</v>
      </c>
      <c r="X37" s="11">
        <v>553.42047123035502</v>
      </c>
      <c r="Y37" s="11">
        <f>tbl_SupplyChaim[Shipping costs]+tbl_SupplyChaim[Manufacturing costs]+tbl_SupplyChaim[Costs]</f>
        <v>616.71344826542611</v>
      </c>
      <c r="Z37" s="11">
        <f>tbl_SupplyChaim[Revenue Generated]-tbl_SupplyChaim[Total_Cost]</f>
        <v>5924.6158965370332</v>
      </c>
      <c r="AA37" s="11">
        <f>IFERROR(tbl_SupplyChaim[[#This Row],[Revenue Generated]]-(tbl_SupplyChaim[[#This Row],[Total_Cost]]/tbl_SupplyChaim[Revenue Generated]),0)</f>
        <v>6541.2350652736732</v>
      </c>
      <c r="AB37" s="10">
        <f>tbl_SupplyChaim[Manufactuing Lead Time]+tbl_SupplyChaim[Shipping times]+tbl_SupplyChaim[Lead times]</f>
        <v>37</v>
      </c>
      <c r="AC37" s="11" t="str">
        <f>_xlfn.IFS(tbl_SupplyChaim[[#This Row],[Total Lead Time]]&gt;50,"HIGH RISK TIME",tbl_SupplyChaim[[#This Row],[Total Lead Time]]&gt;30,"MEDIUM","TRUE","OPTIMAL")</f>
        <v>MEDIUM</v>
      </c>
      <c r="AD37" s="15">
        <v>0.02</v>
      </c>
    </row>
    <row r="38" spans="1:30" ht="15.75" x14ac:dyDescent="0.25">
      <c r="A38" s="10" t="s">
        <v>30</v>
      </c>
      <c r="B38" s="10" t="s">
        <v>87</v>
      </c>
      <c r="C38" s="10">
        <v>9.81300257875405</v>
      </c>
      <c r="D38" s="10">
        <v>34</v>
      </c>
      <c r="E38" s="10">
        <v>963</v>
      </c>
      <c r="F38" s="10">
        <v>7573.4024578487297</v>
      </c>
      <c r="G38" s="10" t="s">
        <v>32</v>
      </c>
      <c r="H38" s="10">
        <v>18</v>
      </c>
      <c r="I38" s="10">
        <v>23</v>
      </c>
      <c r="J38" s="10">
        <v>28</v>
      </c>
      <c r="K38" s="10">
        <v>3</v>
      </c>
      <c r="L38" s="10" t="s">
        <v>24</v>
      </c>
      <c r="M38" s="11">
        <v>2.1079512671590801</v>
      </c>
      <c r="N38" s="10" t="s">
        <v>58</v>
      </c>
      <c r="O38" s="10" t="s">
        <v>47</v>
      </c>
      <c r="P38" s="10">
        <v>26</v>
      </c>
      <c r="Q38" s="10">
        <v>671</v>
      </c>
      <c r="R38" s="10">
        <v>19</v>
      </c>
      <c r="S38" s="11">
        <v>45.531364237162101</v>
      </c>
      <c r="T38" s="10" t="s">
        <v>43</v>
      </c>
      <c r="U38" s="10">
        <v>3.8055333792433501</v>
      </c>
      <c r="V38" s="10" t="s">
        <v>37</v>
      </c>
      <c r="W38" s="10" t="s">
        <v>38</v>
      </c>
      <c r="X38" s="11">
        <v>403.80897424817999</v>
      </c>
      <c r="Y38" s="11">
        <f>tbl_SupplyChaim[Shipping costs]+tbl_SupplyChaim[Manufacturing costs]+tbl_SupplyChaim[Costs]</f>
        <v>451.44828975250118</v>
      </c>
      <c r="Z38" s="11">
        <f>tbl_SupplyChaim[Revenue Generated]-tbl_SupplyChaim[Total_Cost]</f>
        <v>7121.9541680962284</v>
      </c>
      <c r="AA38" s="11">
        <f>IFERROR(tbl_SupplyChaim[[#This Row],[Revenue Generated]]-(tbl_SupplyChaim[[#This Row],[Total_Cost]]/tbl_SupplyChaim[Revenue Generated]),0)</f>
        <v>7573.3428481432811</v>
      </c>
      <c r="AB38" s="10">
        <f>tbl_SupplyChaim[Manufactuing Lead Time]+tbl_SupplyChaim[Shipping times]+tbl_SupplyChaim[Lead times]</f>
        <v>45</v>
      </c>
      <c r="AC38" s="11" t="str">
        <f>_xlfn.IFS(tbl_SupplyChaim[[#This Row],[Total Lead Time]]&gt;50,"HIGH RISK TIME",tbl_SupplyChaim[[#This Row],[Total Lead Time]]&gt;30,"MEDIUM","TRUE","OPTIMAL")</f>
        <v>MEDIUM</v>
      </c>
      <c r="AD38" s="15">
        <v>0.02</v>
      </c>
    </row>
    <row r="39" spans="1:30" ht="15.75" x14ac:dyDescent="0.25">
      <c r="A39" s="10" t="s">
        <v>30</v>
      </c>
      <c r="B39" s="10" t="s">
        <v>88</v>
      </c>
      <c r="C39" s="10">
        <v>23.3998447526143</v>
      </c>
      <c r="D39" s="10">
        <v>5</v>
      </c>
      <c r="E39" s="10">
        <v>963</v>
      </c>
      <c r="F39" s="10">
        <v>2438.3399304700201</v>
      </c>
      <c r="G39" s="10" t="s">
        <v>32</v>
      </c>
      <c r="H39" s="10">
        <v>25</v>
      </c>
      <c r="I39" s="10">
        <v>8</v>
      </c>
      <c r="J39" s="10">
        <v>21</v>
      </c>
      <c r="K39" s="10">
        <v>9</v>
      </c>
      <c r="L39" s="10" t="s">
        <v>33</v>
      </c>
      <c r="M39" s="11">
        <v>1.53265527359043</v>
      </c>
      <c r="N39" s="10" t="s">
        <v>25</v>
      </c>
      <c r="O39" s="10" t="s">
        <v>42</v>
      </c>
      <c r="P39" s="10">
        <v>24</v>
      </c>
      <c r="Q39" s="10">
        <v>867</v>
      </c>
      <c r="R39" s="10">
        <v>15</v>
      </c>
      <c r="S39" s="11">
        <v>34.343277465075303</v>
      </c>
      <c r="T39" s="10" t="s">
        <v>27</v>
      </c>
      <c r="U39" s="10">
        <v>2.61028808484811</v>
      </c>
      <c r="V39" s="10" t="s">
        <v>53</v>
      </c>
      <c r="W39" s="10" t="s">
        <v>45</v>
      </c>
      <c r="X39" s="11">
        <v>183.932968043594</v>
      </c>
      <c r="Y39" s="11">
        <f>tbl_SupplyChaim[Shipping costs]+tbl_SupplyChaim[Manufacturing costs]+tbl_SupplyChaim[Costs]</f>
        <v>219.80890078225974</v>
      </c>
      <c r="Z39" s="11">
        <f>tbl_SupplyChaim[Revenue Generated]-tbl_SupplyChaim[Total_Cost]</f>
        <v>2218.5310296877606</v>
      </c>
      <c r="AA39" s="11">
        <f>IFERROR(tbl_SupplyChaim[[#This Row],[Revenue Generated]]-(tbl_SupplyChaim[[#This Row],[Total_Cost]]/tbl_SupplyChaim[Revenue Generated]),0)</f>
        <v>2438.249783522896</v>
      </c>
      <c r="AB39" s="10">
        <f>tbl_SupplyChaim[Manufactuing Lead Time]+tbl_SupplyChaim[Shipping times]+tbl_SupplyChaim[Lead times]</f>
        <v>32</v>
      </c>
      <c r="AC39" s="11" t="str">
        <f>_xlfn.IFS(tbl_SupplyChaim[[#This Row],[Total Lead Time]]&gt;50,"HIGH RISK TIME",tbl_SupplyChaim[[#This Row],[Total Lead Time]]&gt;30,"MEDIUM","TRUE","OPTIMAL")</f>
        <v>MEDIUM</v>
      </c>
      <c r="AD39" s="15">
        <v>0.02</v>
      </c>
    </row>
    <row r="40" spans="1:30" ht="15.75" x14ac:dyDescent="0.25">
      <c r="A40" s="10" t="s">
        <v>54</v>
      </c>
      <c r="B40" s="10" t="s">
        <v>89</v>
      </c>
      <c r="C40" s="10">
        <v>52.075930682707799</v>
      </c>
      <c r="D40" s="10">
        <v>75</v>
      </c>
      <c r="E40" s="10">
        <v>705</v>
      </c>
      <c r="F40" s="10">
        <v>9692.3180402184298</v>
      </c>
      <c r="G40" s="10" t="s">
        <v>23</v>
      </c>
      <c r="H40" s="10">
        <v>69</v>
      </c>
      <c r="I40" s="10">
        <v>1</v>
      </c>
      <c r="J40" s="10">
        <v>88</v>
      </c>
      <c r="K40" s="10">
        <v>5</v>
      </c>
      <c r="L40" s="10" t="s">
        <v>24</v>
      </c>
      <c r="M40" s="11">
        <v>9.2359314372492207</v>
      </c>
      <c r="N40" s="10" t="s">
        <v>41</v>
      </c>
      <c r="O40" s="10" t="s">
        <v>26</v>
      </c>
      <c r="P40" s="10">
        <v>10</v>
      </c>
      <c r="Q40" s="10">
        <v>841</v>
      </c>
      <c r="R40" s="10">
        <v>12</v>
      </c>
      <c r="S40" s="11">
        <v>5.9306936455283097</v>
      </c>
      <c r="T40" s="10" t="s">
        <v>27</v>
      </c>
      <c r="U40" s="10">
        <v>0.613326899164507</v>
      </c>
      <c r="V40" s="10" t="s">
        <v>37</v>
      </c>
      <c r="W40" s="10" t="s">
        <v>29</v>
      </c>
      <c r="X40" s="11">
        <v>339.67286994860598</v>
      </c>
      <c r="Y40" s="11">
        <f>tbl_SupplyChaim[Shipping costs]+tbl_SupplyChaim[Manufacturing costs]+tbl_SupplyChaim[Costs]</f>
        <v>354.83949503138354</v>
      </c>
      <c r="Z40" s="11">
        <f>tbl_SupplyChaim[Revenue Generated]-tbl_SupplyChaim[Total_Cost]</f>
        <v>9337.4785451870466</v>
      </c>
      <c r="AA40" s="11">
        <f>IFERROR(tbl_SupplyChaim[[#This Row],[Revenue Generated]]-(tbl_SupplyChaim[[#This Row],[Total_Cost]]/tbl_SupplyChaim[Revenue Generated]),0)</f>
        <v>9692.2814298334251</v>
      </c>
      <c r="AB40" s="10">
        <f>tbl_SupplyChaim[Manufactuing Lead Time]+tbl_SupplyChaim[Shipping times]+tbl_SupplyChaim[Lead times]</f>
        <v>18</v>
      </c>
      <c r="AC40" s="11" t="str">
        <f>_xlfn.IFS(tbl_SupplyChaim[[#This Row],[Total Lead Time]]&gt;50,"HIGH RISK TIME",tbl_SupplyChaim[[#This Row],[Total Lead Time]]&gt;30,"MEDIUM","TRUE","OPTIMAL")</f>
        <v>OPTIMAL</v>
      </c>
      <c r="AD40" s="15">
        <v>0.02</v>
      </c>
    </row>
    <row r="41" spans="1:30" ht="15.75" x14ac:dyDescent="0.25">
      <c r="A41" s="10" t="s">
        <v>30</v>
      </c>
      <c r="B41" s="10" t="s">
        <v>90</v>
      </c>
      <c r="C41" s="10">
        <v>19.127477265823199</v>
      </c>
      <c r="D41" s="10">
        <v>26</v>
      </c>
      <c r="E41" s="10">
        <v>176</v>
      </c>
      <c r="F41" s="10">
        <v>1912.4656631007599</v>
      </c>
      <c r="G41" s="10" t="s">
        <v>32</v>
      </c>
      <c r="H41" s="10">
        <v>78</v>
      </c>
      <c r="I41" s="10">
        <v>29</v>
      </c>
      <c r="J41" s="10">
        <v>34</v>
      </c>
      <c r="K41" s="10">
        <v>3</v>
      </c>
      <c r="L41" s="10" t="s">
        <v>33</v>
      </c>
      <c r="M41" s="11">
        <v>5.5625037788303802</v>
      </c>
      <c r="N41" s="10" t="s">
        <v>58</v>
      </c>
      <c r="O41" s="10" t="s">
        <v>42</v>
      </c>
      <c r="P41" s="10">
        <v>30</v>
      </c>
      <c r="Q41" s="10">
        <v>791</v>
      </c>
      <c r="R41" s="10">
        <v>6</v>
      </c>
      <c r="S41" s="11">
        <v>9.0058074287816403</v>
      </c>
      <c r="T41" s="10" t="s">
        <v>43</v>
      </c>
      <c r="U41" s="10">
        <v>1.4519722039968099</v>
      </c>
      <c r="V41" s="10" t="s">
        <v>37</v>
      </c>
      <c r="W41" s="10" t="s">
        <v>29</v>
      </c>
      <c r="X41" s="11">
        <v>653.67299455203295</v>
      </c>
      <c r="Y41" s="11">
        <f>tbl_SupplyChaim[Shipping costs]+tbl_SupplyChaim[Manufacturing costs]+tbl_SupplyChaim[Costs]</f>
        <v>668.241305759645</v>
      </c>
      <c r="Z41" s="11">
        <f>tbl_SupplyChaim[Revenue Generated]-tbl_SupplyChaim[Total_Cost]</f>
        <v>1244.2243573411149</v>
      </c>
      <c r="AA41" s="11">
        <f>IFERROR(tbl_SupplyChaim[[#This Row],[Revenue Generated]]-(tbl_SupplyChaim[[#This Row],[Total_Cost]]/tbl_SupplyChaim[Revenue Generated]),0)</f>
        <v>1912.1162496087152</v>
      </c>
      <c r="AB41" s="10">
        <f>tbl_SupplyChaim[Manufactuing Lead Time]+tbl_SupplyChaim[Shipping times]+tbl_SupplyChaim[Lead times]</f>
        <v>38</v>
      </c>
      <c r="AC41" s="11" t="str">
        <f>_xlfn.IFS(tbl_SupplyChaim[[#This Row],[Total Lead Time]]&gt;50,"HIGH RISK TIME",tbl_SupplyChaim[[#This Row],[Total Lead Time]]&gt;30,"MEDIUM","TRUE","OPTIMAL")</f>
        <v>MEDIUM</v>
      </c>
      <c r="AD41" s="15">
        <v>0.02</v>
      </c>
    </row>
    <row r="42" spans="1:30" ht="15.75" x14ac:dyDescent="0.25">
      <c r="A42" s="10" t="s">
        <v>30</v>
      </c>
      <c r="B42" s="10" t="s">
        <v>91</v>
      </c>
      <c r="C42" s="10">
        <v>80.541424170940303</v>
      </c>
      <c r="D42" s="10">
        <v>97</v>
      </c>
      <c r="E42" s="10">
        <v>933</v>
      </c>
      <c r="F42" s="10">
        <v>5724.9593504562599</v>
      </c>
      <c r="G42" s="10" t="s">
        <v>32</v>
      </c>
      <c r="H42" s="10">
        <v>90</v>
      </c>
      <c r="I42" s="10">
        <v>20</v>
      </c>
      <c r="J42" s="10">
        <v>39</v>
      </c>
      <c r="K42" s="10">
        <v>8</v>
      </c>
      <c r="L42" s="10" t="s">
        <v>40</v>
      </c>
      <c r="M42" s="11">
        <v>7.2295951397364702</v>
      </c>
      <c r="N42" s="10" t="s">
        <v>36</v>
      </c>
      <c r="O42" s="10" t="s">
        <v>42</v>
      </c>
      <c r="P42" s="10">
        <v>18</v>
      </c>
      <c r="Q42" s="10">
        <v>793</v>
      </c>
      <c r="R42" s="10">
        <v>1</v>
      </c>
      <c r="S42" s="11">
        <v>88.179407104217404</v>
      </c>
      <c r="T42" s="10" t="s">
        <v>27</v>
      </c>
      <c r="U42" s="10">
        <v>4.2132694305865597</v>
      </c>
      <c r="V42" s="10" t="s">
        <v>28</v>
      </c>
      <c r="W42" s="10" t="s">
        <v>45</v>
      </c>
      <c r="X42" s="11">
        <v>529.80872398069096</v>
      </c>
      <c r="Y42" s="11">
        <f>tbl_SupplyChaim[Shipping costs]+tbl_SupplyChaim[Manufacturing costs]+tbl_SupplyChaim[Costs]</f>
        <v>625.21772622464482</v>
      </c>
      <c r="Z42" s="11">
        <f>tbl_SupplyChaim[Revenue Generated]-tbl_SupplyChaim[Total_Cost]</f>
        <v>5099.7416242316149</v>
      </c>
      <c r="AA42" s="11">
        <f>IFERROR(tbl_SupplyChaim[[#This Row],[Revenue Generated]]-(tbl_SupplyChaim[[#This Row],[Total_Cost]]/tbl_SupplyChaim[Revenue Generated]),0)</f>
        <v>5724.8501413443782</v>
      </c>
      <c r="AB42" s="10">
        <f>tbl_SupplyChaim[Manufactuing Lead Time]+tbl_SupplyChaim[Shipping times]+tbl_SupplyChaim[Lead times]</f>
        <v>29</v>
      </c>
      <c r="AC42" s="11" t="str">
        <f>_xlfn.IFS(tbl_SupplyChaim[[#This Row],[Total Lead Time]]&gt;50,"HIGH RISK TIME",tbl_SupplyChaim[[#This Row],[Total Lead Time]]&gt;30,"MEDIUM","TRUE","OPTIMAL")</f>
        <v>OPTIMAL</v>
      </c>
      <c r="AD42" s="15">
        <v>0.02</v>
      </c>
    </row>
    <row r="43" spans="1:30" ht="15.75" x14ac:dyDescent="0.25">
      <c r="A43" s="10" t="s">
        <v>30</v>
      </c>
      <c r="B43" s="10" t="s">
        <v>92</v>
      </c>
      <c r="C43" s="10">
        <v>99.113291615317095</v>
      </c>
      <c r="D43" s="10">
        <v>35</v>
      </c>
      <c r="E43" s="10">
        <v>556</v>
      </c>
      <c r="F43" s="10">
        <v>5521.2052590109697</v>
      </c>
      <c r="G43" s="10" t="s">
        <v>32</v>
      </c>
      <c r="H43" s="10">
        <v>64</v>
      </c>
      <c r="I43" s="10">
        <v>19</v>
      </c>
      <c r="J43" s="10">
        <v>38</v>
      </c>
      <c r="K43" s="10">
        <v>8</v>
      </c>
      <c r="L43" s="10" t="s">
        <v>24</v>
      </c>
      <c r="M43" s="11">
        <v>5.7732637437666501</v>
      </c>
      <c r="N43" s="10" t="s">
        <v>49</v>
      </c>
      <c r="O43" s="10" t="s">
        <v>59</v>
      </c>
      <c r="P43" s="10">
        <v>18</v>
      </c>
      <c r="Q43" s="10">
        <v>892</v>
      </c>
      <c r="R43" s="10">
        <v>7</v>
      </c>
      <c r="S43" s="11">
        <v>95.332064548772493</v>
      </c>
      <c r="T43" s="10" t="s">
        <v>43</v>
      </c>
      <c r="U43" s="10">
        <v>4.5302262398259602E-2</v>
      </c>
      <c r="V43" s="10" t="s">
        <v>53</v>
      </c>
      <c r="W43" s="10" t="s">
        <v>45</v>
      </c>
      <c r="X43" s="11">
        <v>275.52437113130901</v>
      </c>
      <c r="Y43" s="11">
        <f>tbl_SupplyChaim[Shipping costs]+tbl_SupplyChaim[Manufacturing costs]+tbl_SupplyChaim[Costs]</f>
        <v>376.62969942384814</v>
      </c>
      <c r="Z43" s="11">
        <f>tbl_SupplyChaim[Revenue Generated]-tbl_SupplyChaim[Total_Cost]</f>
        <v>5144.5755595871215</v>
      </c>
      <c r="AA43" s="11">
        <f>IFERROR(tbl_SupplyChaim[[#This Row],[Revenue Generated]]-(tbl_SupplyChaim[[#This Row],[Total_Cost]]/tbl_SupplyChaim[Revenue Generated]),0)</f>
        <v>5521.1370438873228</v>
      </c>
      <c r="AB43" s="10">
        <f>tbl_SupplyChaim[Manufactuing Lead Time]+tbl_SupplyChaim[Shipping times]+tbl_SupplyChaim[Lead times]</f>
        <v>34</v>
      </c>
      <c r="AC43" s="11" t="str">
        <f>_xlfn.IFS(tbl_SupplyChaim[[#This Row],[Total Lead Time]]&gt;50,"HIGH RISK TIME",tbl_SupplyChaim[[#This Row],[Total Lead Time]]&gt;30,"MEDIUM","TRUE","OPTIMAL")</f>
        <v>MEDIUM</v>
      </c>
      <c r="AD43" s="15">
        <v>0.02</v>
      </c>
    </row>
    <row r="44" spans="1:30" ht="15.75" x14ac:dyDescent="0.25">
      <c r="A44" s="10" t="s">
        <v>30</v>
      </c>
      <c r="B44" s="10" t="s">
        <v>93</v>
      </c>
      <c r="C44" s="10">
        <v>46.529167614516702</v>
      </c>
      <c r="D44" s="10">
        <v>98</v>
      </c>
      <c r="E44" s="10">
        <v>155</v>
      </c>
      <c r="F44" s="10">
        <v>1839.60942585676</v>
      </c>
      <c r="G44" s="10" t="s">
        <v>32</v>
      </c>
      <c r="H44" s="10">
        <v>22</v>
      </c>
      <c r="I44" s="10">
        <v>27</v>
      </c>
      <c r="J44" s="10">
        <v>57</v>
      </c>
      <c r="K44" s="10">
        <v>4</v>
      </c>
      <c r="L44" s="10" t="s">
        <v>40</v>
      </c>
      <c r="M44" s="11">
        <v>7.5262483268515004</v>
      </c>
      <c r="N44" s="10" t="s">
        <v>41</v>
      </c>
      <c r="O44" s="10" t="s">
        <v>50</v>
      </c>
      <c r="P44" s="10">
        <v>26</v>
      </c>
      <c r="Q44" s="10">
        <v>179</v>
      </c>
      <c r="R44" s="10">
        <v>7</v>
      </c>
      <c r="S44" s="11">
        <v>96.422820639571796</v>
      </c>
      <c r="T44" s="10" t="s">
        <v>43</v>
      </c>
      <c r="U44" s="10">
        <v>4.9392552886209398</v>
      </c>
      <c r="V44" s="10" t="s">
        <v>28</v>
      </c>
      <c r="W44" s="10" t="s">
        <v>45</v>
      </c>
      <c r="X44" s="11">
        <v>635.65712050199102</v>
      </c>
      <c r="Y44" s="11">
        <f>tbl_SupplyChaim[Shipping costs]+tbl_SupplyChaim[Manufacturing costs]+tbl_SupplyChaim[Costs]</f>
        <v>739.6061894684143</v>
      </c>
      <c r="Z44" s="11">
        <f>tbl_SupplyChaim[Revenue Generated]-tbl_SupplyChaim[Total_Cost]</f>
        <v>1100.0032363883456</v>
      </c>
      <c r="AA44" s="11">
        <f>IFERROR(tbl_SupplyChaim[[#This Row],[Revenue Generated]]-(tbl_SupplyChaim[[#This Row],[Total_Cost]]/tbl_SupplyChaim[Revenue Generated]),0)</f>
        <v>1839.2073806296196</v>
      </c>
      <c r="AB44" s="10">
        <f>tbl_SupplyChaim[Manufactuing Lead Time]+tbl_SupplyChaim[Shipping times]+tbl_SupplyChaim[Lead times]</f>
        <v>38</v>
      </c>
      <c r="AC44" s="11" t="str">
        <f>_xlfn.IFS(tbl_SupplyChaim[[#This Row],[Total Lead Time]]&gt;50,"HIGH RISK TIME",tbl_SupplyChaim[[#This Row],[Total Lead Time]]&gt;30,"MEDIUM","TRUE","OPTIMAL")</f>
        <v>MEDIUM</v>
      </c>
      <c r="AD44" s="15">
        <v>0.02</v>
      </c>
    </row>
    <row r="45" spans="1:30" ht="15.75" x14ac:dyDescent="0.25">
      <c r="A45" s="10" t="s">
        <v>21</v>
      </c>
      <c r="B45" s="10" t="s">
        <v>94</v>
      </c>
      <c r="C45" s="10">
        <v>11.7432717763092</v>
      </c>
      <c r="D45" s="10">
        <v>6</v>
      </c>
      <c r="E45" s="10">
        <v>598</v>
      </c>
      <c r="F45" s="10">
        <v>5737.4255991190203</v>
      </c>
      <c r="G45" s="10" t="s">
        <v>35</v>
      </c>
      <c r="H45" s="10">
        <v>36</v>
      </c>
      <c r="I45" s="10">
        <v>29</v>
      </c>
      <c r="J45" s="10">
        <v>85</v>
      </c>
      <c r="K45" s="10">
        <v>9</v>
      </c>
      <c r="L45" s="10" t="s">
        <v>24</v>
      </c>
      <c r="M45" s="11">
        <v>3.6940212683884499</v>
      </c>
      <c r="N45" s="10" t="s">
        <v>41</v>
      </c>
      <c r="O45" s="10" t="s">
        <v>26</v>
      </c>
      <c r="P45" s="10">
        <v>1</v>
      </c>
      <c r="Q45" s="10">
        <v>206</v>
      </c>
      <c r="R45" s="10">
        <v>23</v>
      </c>
      <c r="S45" s="11">
        <v>26.2773659573324</v>
      </c>
      <c r="T45" s="10" t="s">
        <v>27</v>
      </c>
      <c r="U45" s="10">
        <v>0.37230476798509698</v>
      </c>
      <c r="V45" s="10" t="s">
        <v>37</v>
      </c>
      <c r="W45" s="10" t="s">
        <v>45</v>
      </c>
      <c r="X45" s="11">
        <v>716.04411975933999</v>
      </c>
      <c r="Y45" s="11">
        <f>tbl_SupplyChaim[Shipping costs]+tbl_SupplyChaim[Manufacturing costs]+tbl_SupplyChaim[Costs]</f>
        <v>746.01550698506082</v>
      </c>
      <c r="Z45" s="11">
        <f>tbl_SupplyChaim[Revenue Generated]-tbl_SupplyChaim[Total_Cost]</f>
        <v>4991.4100921339596</v>
      </c>
      <c r="AA45" s="11">
        <f>IFERROR(tbl_SupplyChaim[[#This Row],[Revenue Generated]]-(tbl_SupplyChaim[[#This Row],[Total_Cost]]/tbl_SupplyChaim[Revenue Generated]),0)</f>
        <v>5737.2955729436744</v>
      </c>
      <c r="AB45" s="10">
        <f>tbl_SupplyChaim[Manufactuing Lead Time]+tbl_SupplyChaim[Shipping times]+tbl_SupplyChaim[Lead times]</f>
        <v>61</v>
      </c>
      <c r="AC45" s="11" t="str">
        <f>_xlfn.IFS(tbl_SupplyChaim[[#This Row],[Total Lead Time]]&gt;50,"HIGH RISK TIME",tbl_SupplyChaim[[#This Row],[Total Lead Time]]&gt;30,"MEDIUM","TRUE","OPTIMAL")</f>
        <v>HIGH RISK TIME</v>
      </c>
      <c r="AD45" s="15">
        <v>0.02</v>
      </c>
    </row>
    <row r="46" spans="1:30" ht="15.75" x14ac:dyDescent="0.25">
      <c r="A46" s="10" t="s">
        <v>54</v>
      </c>
      <c r="B46" s="10" t="s">
        <v>95</v>
      </c>
      <c r="C46" s="10">
        <v>51.355790913110297</v>
      </c>
      <c r="D46" s="10">
        <v>34</v>
      </c>
      <c r="E46" s="10">
        <v>919</v>
      </c>
      <c r="F46" s="10">
        <v>7152.28604943551</v>
      </c>
      <c r="G46" s="10" t="s">
        <v>32</v>
      </c>
      <c r="H46" s="10">
        <v>13</v>
      </c>
      <c r="I46" s="10">
        <v>19</v>
      </c>
      <c r="J46" s="10">
        <v>72</v>
      </c>
      <c r="K46" s="10">
        <v>6</v>
      </c>
      <c r="L46" s="10" t="s">
        <v>40</v>
      </c>
      <c r="M46" s="11">
        <v>7.5774496573766896</v>
      </c>
      <c r="N46" s="10" t="s">
        <v>58</v>
      </c>
      <c r="O46" s="10" t="s">
        <v>47</v>
      </c>
      <c r="P46" s="10">
        <v>7</v>
      </c>
      <c r="Q46" s="10">
        <v>834</v>
      </c>
      <c r="R46" s="10">
        <v>18</v>
      </c>
      <c r="S46" s="11">
        <v>22.554106620887701</v>
      </c>
      <c r="T46" s="10" t="s">
        <v>43</v>
      </c>
      <c r="U46" s="10">
        <v>2.9626263204548802</v>
      </c>
      <c r="V46" s="10" t="s">
        <v>44</v>
      </c>
      <c r="W46" s="10" t="s">
        <v>45</v>
      </c>
      <c r="X46" s="11">
        <v>610.45326961922694</v>
      </c>
      <c r="Y46" s="11">
        <f>tbl_SupplyChaim[Shipping costs]+tbl_SupplyChaim[Manufacturing costs]+tbl_SupplyChaim[Costs]</f>
        <v>640.58482589749133</v>
      </c>
      <c r="Z46" s="11">
        <f>tbl_SupplyChaim[Revenue Generated]-tbl_SupplyChaim[Total_Cost]</f>
        <v>6511.7012235380189</v>
      </c>
      <c r="AA46" s="11">
        <f>IFERROR(tbl_SupplyChaim[[#This Row],[Revenue Generated]]-(tbl_SupplyChaim[[#This Row],[Total_Cost]]/tbl_SupplyChaim[Revenue Generated]),0)</f>
        <v>7152.1964857881012</v>
      </c>
      <c r="AB46" s="10">
        <f>tbl_SupplyChaim[Manufactuing Lead Time]+tbl_SupplyChaim[Shipping times]+tbl_SupplyChaim[Lead times]</f>
        <v>43</v>
      </c>
      <c r="AC46" s="11" t="str">
        <f>_xlfn.IFS(tbl_SupplyChaim[[#This Row],[Total Lead Time]]&gt;50,"HIGH RISK TIME",tbl_SupplyChaim[[#This Row],[Total Lead Time]]&gt;30,"MEDIUM","TRUE","OPTIMAL")</f>
        <v>MEDIUM</v>
      </c>
      <c r="AD46" s="15">
        <v>0.02</v>
      </c>
    </row>
    <row r="47" spans="1:30" ht="15.75" x14ac:dyDescent="0.25">
      <c r="A47" s="10" t="s">
        <v>21</v>
      </c>
      <c r="B47" s="10" t="s">
        <v>96</v>
      </c>
      <c r="C47" s="10">
        <v>33.784138033065503</v>
      </c>
      <c r="D47" s="10">
        <v>1</v>
      </c>
      <c r="E47" s="10">
        <v>24</v>
      </c>
      <c r="F47" s="10">
        <v>5267.9568075105199</v>
      </c>
      <c r="G47" s="10" t="s">
        <v>52</v>
      </c>
      <c r="H47" s="10">
        <v>93</v>
      </c>
      <c r="I47" s="10">
        <v>7</v>
      </c>
      <c r="J47" s="10">
        <v>52</v>
      </c>
      <c r="K47" s="10">
        <v>6</v>
      </c>
      <c r="L47" s="10" t="s">
        <v>24</v>
      </c>
      <c r="M47" s="11">
        <v>5.2151550087119096</v>
      </c>
      <c r="N47" s="10" t="s">
        <v>58</v>
      </c>
      <c r="O47" s="10" t="s">
        <v>59</v>
      </c>
      <c r="P47" s="10">
        <v>25</v>
      </c>
      <c r="Q47" s="10">
        <v>794</v>
      </c>
      <c r="R47" s="10">
        <v>25</v>
      </c>
      <c r="S47" s="11">
        <v>66.312544439991598</v>
      </c>
      <c r="T47" s="10" t="s">
        <v>61</v>
      </c>
      <c r="U47" s="10">
        <v>3.2196046120841002</v>
      </c>
      <c r="V47" s="10" t="s">
        <v>44</v>
      </c>
      <c r="W47" s="10" t="s">
        <v>45</v>
      </c>
      <c r="X47" s="11">
        <v>495.30569702847299</v>
      </c>
      <c r="Y47" s="11">
        <f>tbl_SupplyChaim[Shipping costs]+tbl_SupplyChaim[Manufacturing costs]+tbl_SupplyChaim[Costs]</f>
        <v>566.83339647717651</v>
      </c>
      <c r="Z47" s="11">
        <f>tbl_SupplyChaim[Revenue Generated]-tbl_SupplyChaim[Total_Cost]</f>
        <v>4701.1234110333435</v>
      </c>
      <c r="AA47" s="11">
        <f>IFERROR(tbl_SupplyChaim[[#This Row],[Revenue Generated]]-(tbl_SupplyChaim[[#This Row],[Total_Cost]]/tbl_SupplyChaim[Revenue Generated]),0)</f>
        <v>5267.8492072743775</v>
      </c>
      <c r="AB47" s="10">
        <f>tbl_SupplyChaim[Manufactuing Lead Time]+tbl_SupplyChaim[Shipping times]+tbl_SupplyChaim[Lead times]</f>
        <v>38</v>
      </c>
      <c r="AC47" s="11" t="str">
        <f>_xlfn.IFS(tbl_SupplyChaim[[#This Row],[Total Lead Time]]&gt;50,"HIGH RISK TIME",tbl_SupplyChaim[[#This Row],[Total Lead Time]]&gt;30,"MEDIUM","TRUE","OPTIMAL")</f>
        <v>MEDIUM</v>
      </c>
      <c r="AD47" s="15">
        <v>0.02</v>
      </c>
    </row>
    <row r="48" spans="1:30" ht="15.75" x14ac:dyDescent="0.25">
      <c r="A48" s="10" t="s">
        <v>21</v>
      </c>
      <c r="B48" s="10" t="s">
        <v>97</v>
      </c>
      <c r="C48" s="10">
        <v>27.082207199888899</v>
      </c>
      <c r="D48" s="10">
        <v>75</v>
      </c>
      <c r="E48" s="10">
        <v>859</v>
      </c>
      <c r="F48" s="10">
        <v>2556.7673606335902</v>
      </c>
      <c r="G48" s="10" t="s">
        <v>23</v>
      </c>
      <c r="H48" s="10">
        <v>92</v>
      </c>
      <c r="I48" s="10">
        <v>29</v>
      </c>
      <c r="J48" s="10">
        <v>6</v>
      </c>
      <c r="K48" s="10">
        <v>8</v>
      </c>
      <c r="L48" s="10" t="s">
        <v>24</v>
      </c>
      <c r="M48" s="11">
        <v>4.0709558370840799</v>
      </c>
      <c r="N48" s="10" t="s">
        <v>25</v>
      </c>
      <c r="O48" s="10" t="s">
        <v>59</v>
      </c>
      <c r="P48" s="10">
        <v>18</v>
      </c>
      <c r="Q48" s="10">
        <v>870</v>
      </c>
      <c r="R48" s="10">
        <v>23</v>
      </c>
      <c r="S48" s="11">
        <v>77.322353211051606</v>
      </c>
      <c r="T48" s="10" t="s">
        <v>27</v>
      </c>
      <c r="U48" s="10">
        <v>3.6486105925361998</v>
      </c>
      <c r="V48" s="10" t="s">
        <v>28</v>
      </c>
      <c r="W48" s="10" t="s">
        <v>29</v>
      </c>
      <c r="X48" s="11">
        <v>380.43593711196399</v>
      </c>
      <c r="Y48" s="11">
        <f>tbl_SupplyChaim[Shipping costs]+tbl_SupplyChaim[Manufacturing costs]+tbl_SupplyChaim[Costs]</f>
        <v>461.82924616009967</v>
      </c>
      <c r="Z48" s="11">
        <f>tbl_SupplyChaim[Revenue Generated]-tbl_SupplyChaim[Total_Cost]</f>
        <v>2094.9381144734907</v>
      </c>
      <c r="AA48" s="11">
        <f>IFERROR(tbl_SupplyChaim[[#This Row],[Revenue Generated]]-(tbl_SupplyChaim[[#This Row],[Total_Cost]]/tbl_SupplyChaim[Revenue Generated]),0)</f>
        <v>2556.5867304936446</v>
      </c>
      <c r="AB48" s="10">
        <f>tbl_SupplyChaim[Manufactuing Lead Time]+tbl_SupplyChaim[Shipping times]+tbl_SupplyChaim[Lead times]</f>
        <v>60</v>
      </c>
      <c r="AC48" s="11" t="str">
        <f>_xlfn.IFS(tbl_SupplyChaim[[#This Row],[Total Lead Time]]&gt;50,"HIGH RISK TIME",tbl_SupplyChaim[[#This Row],[Total Lead Time]]&gt;30,"MEDIUM","TRUE","OPTIMAL")</f>
        <v>HIGH RISK TIME</v>
      </c>
      <c r="AD48" s="15">
        <v>0.02</v>
      </c>
    </row>
    <row r="49" spans="1:30" ht="15.75" x14ac:dyDescent="0.25">
      <c r="A49" s="10" t="s">
        <v>30</v>
      </c>
      <c r="B49" s="10" t="s">
        <v>98</v>
      </c>
      <c r="C49" s="10">
        <v>95.712135880936003</v>
      </c>
      <c r="D49" s="10">
        <v>93</v>
      </c>
      <c r="E49" s="10">
        <v>910</v>
      </c>
      <c r="F49" s="10">
        <v>7089.4742499341801</v>
      </c>
      <c r="G49" s="10" t="s">
        <v>52</v>
      </c>
      <c r="H49" s="10">
        <v>4</v>
      </c>
      <c r="I49" s="10">
        <v>15</v>
      </c>
      <c r="J49" s="10">
        <v>51</v>
      </c>
      <c r="K49" s="10">
        <v>9</v>
      </c>
      <c r="L49" s="10" t="s">
        <v>24</v>
      </c>
      <c r="M49" s="11">
        <v>8.9787507559499709</v>
      </c>
      <c r="N49" s="10" t="s">
        <v>36</v>
      </c>
      <c r="O49" s="10" t="s">
        <v>42</v>
      </c>
      <c r="P49" s="10">
        <v>10</v>
      </c>
      <c r="Q49" s="10">
        <v>964</v>
      </c>
      <c r="R49" s="10">
        <v>20</v>
      </c>
      <c r="S49" s="11">
        <v>19.7129929112936</v>
      </c>
      <c r="T49" s="10" t="s">
        <v>27</v>
      </c>
      <c r="U49" s="10">
        <v>0.38057358671321301</v>
      </c>
      <c r="V49" s="10" t="s">
        <v>44</v>
      </c>
      <c r="W49" s="10" t="s">
        <v>45</v>
      </c>
      <c r="X49" s="11">
        <v>581.60235505058597</v>
      </c>
      <c r="Y49" s="11">
        <f>tbl_SupplyChaim[Shipping costs]+tbl_SupplyChaim[Manufacturing costs]+tbl_SupplyChaim[Costs]</f>
        <v>610.29409871782957</v>
      </c>
      <c r="Z49" s="11">
        <f>tbl_SupplyChaim[Revenue Generated]-tbl_SupplyChaim[Total_Cost]</f>
        <v>6479.1801512163502</v>
      </c>
      <c r="AA49" s="11">
        <f>IFERROR(tbl_SupplyChaim[[#This Row],[Revenue Generated]]-(tbl_SupplyChaim[[#This Row],[Total_Cost]]/tbl_SupplyChaim[Revenue Generated]),0)</f>
        <v>7089.3881653985427</v>
      </c>
      <c r="AB49" s="10">
        <f>tbl_SupplyChaim[Manufactuing Lead Time]+tbl_SupplyChaim[Shipping times]+tbl_SupplyChaim[Lead times]</f>
        <v>44</v>
      </c>
      <c r="AC49" s="11" t="str">
        <f>_xlfn.IFS(tbl_SupplyChaim[[#This Row],[Total Lead Time]]&gt;50,"HIGH RISK TIME",tbl_SupplyChaim[[#This Row],[Total Lead Time]]&gt;30,"MEDIUM","TRUE","OPTIMAL")</f>
        <v>MEDIUM</v>
      </c>
      <c r="AD49" s="15">
        <v>0.02</v>
      </c>
    </row>
    <row r="50" spans="1:30" ht="15.75" x14ac:dyDescent="0.25">
      <c r="A50" s="10" t="s">
        <v>21</v>
      </c>
      <c r="B50" s="10" t="s">
        <v>99</v>
      </c>
      <c r="C50" s="10">
        <v>76.035544426891704</v>
      </c>
      <c r="D50" s="10">
        <v>28</v>
      </c>
      <c r="E50" s="10">
        <v>29</v>
      </c>
      <c r="F50" s="10">
        <v>7397.0710045871801</v>
      </c>
      <c r="G50" s="10" t="s">
        <v>23</v>
      </c>
      <c r="H50" s="10">
        <v>30</v>
      </c>
      <c r="I50" s="10">
        <v>16</v>
      </c>
      <c r="J50" s="10">
        <v>9</v>
      </c>
      <c r="K50" s="10">
        <v>3</v>
      </c>
      <c r="L50" s="10" t="s">
        <v>40</v>
      </c>
      <c r="M50" s="11">
        <v>7.0958331565551296</v>
      </c>
      <c r="N50" s="10" t="s">
        <v>58</v>
      </c>
      <c r="O50" s="10" t="s">
        <v>26</v>
      </c>
      <c r="P50" s="10">
        <v>9</v>
      </c>
      <c r="Q50" s="10">
        <v>109</v>
      </c>
      <c r="R50" s="10">
        <v>18</v>
      </c>
      <c r="S50" s="11">
        <v>23.126363582464698</v>
      </c>
      <c r="T50" s="10" t="s">
        <v>43</v>
      </c>
      <c r="U50" s="10">
        <v>1.6981125407144</v>
      </c>
      <c r="V50" s="10" t="s">
        <v>44</v>
      </c>
      <c r="W50" s="10" t="s">
        <v>29</v>
      </c>
      <c r="X50" s="11">
        <v>768.65191395437</v>
      </c>
      <c r="Y50" s="11">
        <f>tbl_SupplyChaim[Shipping costs]+tbl_SupplyChaim[Manufacturing costs]+tbl_SupplyChaim[Costs]</f>
        <v>798.87411069338987</v>
      </c>
      <c r="Z50" s="11">
        <f>tbl_SupplyChaim[Revenue Generated]-tbl_SupplyChaim[Total_Cost]</f>
        <v>6598.1968938937898</v>
      </c>
      <c r="AA50" s="11">
        <f>IFERROR(tbl_SupplyChaim[[#This Row],[Revenue Generated]]-(tbl_SupplyChaim[[#This Row],[Total_Cost]]/tbl_SupplyChaim[Revenue Generated]),0)</f>
        <v>7396.9630058792864</v>
      </c>
      <c r="AB50" s="10">
        <f>tbl_SupplyChaim[Manufactuing Lead Time]+tbl_SupplyChaim[Shipping times]+tbl_SupplyChaim[Lead times]</f>
        <v>37</v>
      </c>
      <c r="AC50" s="11" t="str">
        <f>_xlfn.IFS(tbl_SupplyChaim[[#This Row],[Total Lead Time]]&gt;50,"HIGH RISK TIME",tbl_SupplyChaim[[#This Row],[Total Lead Time]]&gt;30,"MEDIUM","TRUE","OPTIMAL")</f>
        <v>MEDIUM</v>
      </c>
      <c r="AD50" s="15">
        <v>0.02</v>
      </c>
    </row>
    <row r="51" spans="1:30" ht="15.75" x14ac:dyDescent="0.25">
      <c r="A51" s="10" t="s">
        <v>54</v>
      </c>
      <c r="B51" s="10" t="s">
        <v>100</v>
      </c>
      <c r="C51" s="10">
        <v>78.897913205639995</v>
      </c>
      <c r="D51" s="10">
        <v>19</v>
      </c>
      <c r="E51" s="10">
        <v>99</v>
      </c>
      <c r="F51" s="10">
        <v>8001.6132065190004</v>
      </c>
      <c r="G51" s="10" t="s">
        <v>35</v>
      </c>
      <c r="H51" s="10">
        <v>97</v>
      </c>
      <c r="I51" s="10">
        <v>24</v>
      </c>
      <c r="J51" s="10">
        <v>9</v>
      </c>
      <c r="K51" s="10">
        <v>6</v>
      </c>
      <c r="L51" s="10" t="s">
        <v>40</v>
      </c>
      <c r="M51" s="11">
        <v>2.5056210329009101</v>
      </c>
      <c r="N51" s="10" t="s">
        <v>41</v>
      </c>
      <c r="O51" s="10" t="s">
        <v>47</v>
      </c>
      <c r="P51" s="10">
        <v>28</v>
      </c>
      <c r="Q51" s="10">
        <v>177</v>
      </c>
      <c r="R51" s="10">
        <v>28</v>
      </c>
      <c r="S51" s="11">
        <v>14.1478154439792</v>
      </c>
      <c r="T51" s="10" t="s">
        <v>61</v>
      </c>
      <c r="U51" s="10">
        <v>2.8258139854001301</v>
      </c>
      <c r="V51" s="10" t="s">
        <v>44</v>
      </c>
      <c r="W51" s="10" t="s">
        <v>45</v>
      </c>
      <c r="X51" s="11">
        <v>336.89016851997701</v>
      </c>
      <c r="Y51" s="11">
        <f>tbl_SupplyChaim[Shipping costs]+tbl_SupplyChaim[Manufacturing costs]+tbl_SupplyChaim[Costs]</f>
        <v>353.54360499685714</v>
      </c>
      <c r="Z51" s="11">
        <f>tbl_SupplyChaim[Revenue Generated]-tbl_SupplyChaim[Total_Cost]</f>
        <v>7648.0696015221429</v>
      </c>
      <c r="AA51" s="11">
        <f>IFERROR(tbl_SupplyChaim[[#This Row],[Revenue Generated]]-(tbl_SupplyChaim[[#This Row],[Total_Cost]]/tbl_SupplyChaim[Revenue Generated]),0)</f>
        <v>8001.5690224781238</v>
      </c>
      <c r="AB51" s="10">
        <f>tbl_SupplyChaim[Manufactuing Lead Time]+tbl_SupplyChaim[Shipping times]+tbl_SupplyChaim[Lead times]</f>
        <v>58</v>
      </c>
      <c r="AC51" s="11" t="str">
        <f>_xlfn.IFS(tbl_SupplyChaim[[#This Row],[Total Lead Time]]&gt;50,"HIGH RISK TIME",tbl_SupplyChaim[[#This Row],[Total Lead Time]]&gt;30,"MEDIUM","TRUE","OPTIMAL")</f>
        <v>HIGH RISK TIME</v>
      </c>
      <c r="AD51" s="15">
        <v>0.02</v>
      </c>
    </row>
    <row r="52" spans="1:30" ht="15.75" x14ac:dyDescent="0.25">
      <c r="A52" s="10" t="s">
        <v>54</v>
      </c>
      <c r="B52" s="10" t="s">
        <v>101</v>
      </c>
      <c r="C52" s="10">
        <v>14.203484264803</v>
      </c>
      <c r="D52" s="10">
        <v>91</v>
      </c>
      <c r="E52" s="10">
        <v>633</v>
      </c>
      <c r="F52" s="10">
        <v>5910.8853896688897</v>
      </c>
      <c r="G52" s="10" t="s">
        <v>32</v>
      </c>
      <c r="H52" s="10">
        <v>31</v>
      </c>
      <c r="I52" s="10">
        <v>23</v>
      </c>
      <c r="J52" s="10">
        <v>82</v>
      </c>
      <c r="K52" s="10">
        <v>10</v>
      </c>
      <c r="L52" s="10" t="s">
        <v>33</v>
      </c>
      <c r="M52" s="11">
        <v>6.2478609149759903</v>
      </c>
      <c r="N52" s="10" t="s">
        <v>58</v>
      </c>
      <c r="O52" s="10" t="s">
        <v>47</v>
      </c>
      <c r="P52" s="10">
        <v>20</v>
      </c>
      <c r="Q52" s="10">
        <v>306</v>
      </c>
      <c r="R52" s="10">
        <v>21</v>
      </c>
      <c r="S52" s="11">
        <v>45.178757924634503</v>
      </c>
      <c r="T52" s="10" t="s">
        <v>43</v>
      </c>
      <c r="U52" s="10">
        <v>4.7548008046711798</v>
      </c>
      <c r="V52" s="10" t="s">
        <v>44</v>
      </c>
      <c r="W52" s="10" t="s">
        <v>29</v>
      </c>
      <c r="X52" s="11">
        <v>496.24865029194001</v>
      </c>
      <c r="Y52" s="11">
        <f>tbl_SupplyChaim[Shipping costs]+tbl_SupplyChaim[Manufacturing costs]+tbl_SupplyChaim[Costs]</f>
        <v>547.67526913155052</v>
      </c>
      <c r="Z52" s="11">
        <f>tbl_SupplyChaim[Revenue Generated]-tbl_SupplyChaim[Total_Cost]</f>
        <v>5363.2101205373392</v>
      </c>
      <c r="AA52" s="11">
        <f>IFERROR(tbl_SupplyChaim[[#This Row],[Revenue Generated]]-(tbl_SupplyChaim[[#This Row],[Total_Cost]]/tbl_SupplyChaim[Revenue Generated]),0)</f>
        <v>5910.7927342995117</v>
      </c>
      <c r="AB52" s="10">
        <f>tbl_SupplyChaim[Manufactuing Lead Time]+tbl_SupplyChaim[Shipping times]+tbl_SupplyChaim[Lead times]</f>
        <v>54</v>
      </c>
      <c r="AC52" s="11" t="str">
        <f>_xlfn.IFS(tbl_SupplyChaim[[#This Row],[Total Lead Time]]&gt;50,"HIGH RISK TIME",tbl_SupplyChaim[[#This Row],[Total Lead Time]]&gt;30,"MEDIUM","TRUE","OPTIMAL")</f>
        <v>HIGH RISK TIME</v>
      </c>
      <c r="AD52" s="15">
        <v>0.02</v>
      </c>
    </row>
    <row r="53" spans="1:30" ht="15.75" x14ac:dyDescent="0.25">
      <c r="A53" s="10" t="s">
        <v>21</v>
      </c>
      <c r="B53" s="10" t="s">
        <v>102</v>
      </c>
      <c r="C53" s="10">
        <v>26.700760972461701</v>
      </c>
      <c r="D53" s="10">
        <v>61</v>
      </c>
      <c r="E53" s="10">
        <v>154</v>
      </c>
      <c r="F53" s="10">
        <v>9866.4654579796897</v>
      </c>
      <c r="G53" s="10" t="s">
        <v>52</v>
      </c>
      <c r="H53" s="10">
        <v>100</v>
      </c>
      <c r="I53" s="10">
        <v>4</v>
      </c>
      <c r="J53" s="10">
        <v>52</v>
      </c>
      <c r="K53" s="10">
        <v>1</v>
      </c>
      <c r="L53" s="10" t="s">
        <v>33</v>
      </c>
      <c r="M53" s="11">
        <v>4.78300055794766</v>
      </c>
      <c r="N53" s="10" t="s">
        <v>41</v>
      </c>
      <c r="O53" s="10" t="s">
        <v>50</v>
      </c>
      <c r="P53" s="10">
        <v>18</v>
      </c>
      <c r="Q53" s="10">
        <v>673</v>
      </c>
      <c r="R53" s="10">
        <v>28</v>
      </c>
      <c r="S53" s="11">
        <v>14.190328344569901</v>
      </c>
      <c r="T53" s="10" t="s">
        <v>27</v>
      </c>
      <c r="U53" s="10">
        <v>1.77295117208355</v>
      </c>
      <c r="V53" s="10" t="s">
        <v>28</v>
      </c>
      <c r="W53" s="10" t="s">
        <v>45</v>
      </c>
      <c r="X53" s="11">
        <v>694.98231757944495</v>
      </c>
      <c r="Y53" s="11">
        <f>tbl_SupplyChaim[Shipping costs]+tbl_SupplyChaim[Manufacturing costs]+tbl_SupplyChaim[Costs]</f>
        <v>713.9556464819625</v>
      </c>
      <c r="Z53" s="11">
        <f>tbl_SupplyChaim[Revenue Generated]-tbl_SupplyChaim[Total_Cost]</f>
        <v>9152.5098114977263</v>
      </c>
      <c r="AA53" s="11">
        <f>IFERROR(tbl_SupplyChaim[[#This Row],[Revenue Generated]]-(tbl_SupplyChaim[[#This Row],[Total_Cost]]/tbl_SupplyChaim[Revenue Generated]),0)</f>
        <v>9866.3930961344558</v>
      </c>
      <c r="AB53" s="10">
        <f>tbl_SupplyChaim[Manufactuing Lead Time]+tbl_SupplyChaim[Shipping times]+tbl_SupplyChaim[Lead times]</f>
        <v>33</v>
      </c>
      <c r="AC53" s="11" t="str">
        <f>_xlfn.IFS(tbl_SupplyChaim[[#This Row],[Total Lead Time]]&gt;50,"HIGH RISK TIME",tbl_SupplyChaim[[#This Row],[Total Lead Time]]&gt;30,"MEDIUM","TRUE","OPTIMAL")</f>
        <v>MEDIUM</v>
      </c>
      <c r="AD53" s="15">
        <v>0.02</v>
      </c>
    </row>
    <row r="54" spans="1:30" ht="15.75" x14ac:dyDescent="0.25">
      <c r="A54" s="10" t="s">
        <v>30</v>
      </c>
      <c r="B54" s="10" t="s">
        <v>103</v>
      </c>
      <c r="C54" s="10">
        <v>98.031829656465007</v>
      </c>
      <c r="D54" s="10">
        <v>1</v>
      </c>
      <c r="E54" s="10">
        <v>820</v>
      </c>
      <c r="F54" s="10">
        <v>9435.7626089121295</v>
      </c>
      <c r="G54" s="10" t="s">
        <v>52</v>
      </c>
      <c r="H54" s="10">
        <v>64</v>
      </c>
      <c r="I54" s="10">
        <v>11</v>
      </c>
      <c r="J54" s="10">
        <v>11</v>
      </c>
      <c r="K54" s="10">
        <v>1</v>
      </c>
      <c r="L54" s="10" t="s">
        <v>24</v>
      </c>
      <c r="M54" s="11">
        <v>8.6310521797689397</v>
      </c>
      <c r="N54" s="10" t="s">
        <v>36</v>
      </c>
      <c r="O54" s="10" t="s">
        <v>26</v>
      </c>
      <c r="P54" s="10">
        <v>10</v>
      </c>
      <c r="Q54" s="10">
        <v>727</v>
      </c>
      <c r="R54" s="10">
        <v>27</v>
      </c>
      <c r="S54" s="11">
        <v>9.1668491485971497</v>
      </c>
      <c r="T54" s="10" t="s">
        <v>27</v>
      </c>
      <c r="U54" s="10">
        <v>2.1224716191438202</v>
      </c>
      <c r="V54" s="10" t="s">
        <v>37</v>
      </c>
      <c r="W54" s="10" t="s">
        <v>38</v>
      </c>
      <c r="X54" s="11">
        <v>602.89849883838303</v>
      </c>
      <c r="Y54" s="11">
        <f>tbl_SupplyChaim[Shipping costs]+tbl_SupplyChaim[Manufacturing costs]+tbl_SupplyChaim[Costs]</f>
        <v>620.69640016674907</v>
      </c>
      <c r="Z54" s="11">
        <f>tbl_SupplyChaim[Revenue Generated]-tbl_SupplyChaim[Total_Cost]</f>
        <v>8815.0662087453802</v>
      </c>
      <c r="AA54" s="11">
        <f>IFERROR(tbl_SupplyChaim[[#This Row],[Revenue Generated]]-(tbl_SupplyChaim[[#This Row],[Total_Cost]]/tbl_SupplyChaim[Revenue Generated]),0)</f>
        <v>9435.6968276471816</v>
      </c>
      <c r="AB54" s="10">
        <f>tbl_SupplyChaim[Manufactuing Lead Time]+tbl_SupplyChaim[Shipping times]+tbl_SupplyChaim[Lead times]</f>
        <v>39</v>
      </c>
      <c r="AC54" s="11" t="str">
        <f>_xlfn.IFS(tbl_SupplyChaim[[#This Row],[Total Lead Time]]&gt;50,"HIGH RISK TIME",tbl_SupplyChaim[[#This Row],[Total Lead Time]]&gt;30,"MEDIUM","TRUE","OPTIMAL")</f>
        <v>MEDIUM</v>
      </c>
      <c r="AD54" s="15">
        <v>0.02</v>
      </c>
    </row>
    <row r="55" spans="1:30" ht="15.75" x14ac:dyDescent="0.25">
      <c r="A55" s="10" t="s">
        <v>30</v>
      </c>
      <c r="B55" s="10" t="s">
        <v>104</v>
      </c>
      <c r="C55" s="10">
        <v>30.3414707112142</v>
      </c>
      <c r="D55" s="10">
        <v>93</v>
      </c>
      <c r="E55" s="10">
        <v>242</v>
      </c>
      <c r="F55" s="10">
        <v>8232.3348294258194</v>
      </c>
      <c r="G55" s="10" t="s">
        <v>52</v>
      </c>
      <c r="H55" s="10">
        <v>96</v>
      </c>
      <c r="I55" s="10">
        <v>25</v>
      </c>
      <c r="J55" s="10">
        <v>54</v>
      </c>
      <c r="K55" s="10">
        <v>3</v>
      </c>
      <c r="L55" s="10" t="s">
        <v>24</v>
      </c>
      <c r="M55" s="11">
        <v>1.0134865660958901</v>
      </c>
      <c r="N55" s="10" t="s">
        <v>36</v>
      </c>
      <c r="O55" s="10" t="s">
        <v>47</v>
      </c>
      <c r="P55" s="10">
        <v>1</v>
      </c>
      <c r="Q55" s="10">
        <v>631</v>
      </c>
      <c r="R55" s="10">
        <v>17</v>
      </c>
      <c r="S55" s="11">
        <v>83.344058991677898</v>
      </c>
      <c r="T55" s="10" t="s">
        <v>27</v>
      </c>
      <c r="U55" s="10">
        <v>1.41034757607602</v>
      </c>
      <c r="V55" s="10" t="s">
        <v>37</v>
      </c>
      <c r="W55" s="10" t="s">
        <v>29</v>
      </c>
      <c r="X55" s="11">
        <v>750.73784066827</v>
      </c>
      <c r="Y55" s="11">
        <f>tbl_SupplyChaim[Shipping costs]+tbl_SupplyChaim[Manufacturing costs]+tbl_SupplyChaim[Costs]</f>
        <v>835.09538622604373</v>
      </c>
      <c r="Z55" s="11">
        <f>tbl_SupplyChaim[Revenue Generated]-tbl_SupplyChaim[Total_Cost]</f>
        <v>7397.2394431997755</v>
      </c>
      <c r="AA55" s="11">
        <f>IFERROR(tbl_SupplyChaim[[#This Row],[Revenue Generated]]-(tbl_SupplyChaim[[#This Row],[Total_Cost]]/tbl_SupplyChaim[Revenue Generated]),0)</f>
        <v>8232.2333885340759</v>
      </c>
      <c r="AB55" s="10">
        <f>tbl_SupplyChaim[Manufactuing Lead Time]+tbl_SupplyChaim[Shipping times]+tbl_SupplyChaim[Lead times]</f>
        <v>45</v>
      </c>
      <c r="AC55" s="11" t="str">
        <f>_xlfn.IFS(tbl_SupplyChaim[[#This Row],[Total Lead Time]]&gt;50,"HIGH RISK TIME",tbl_SupplyChaim[[#This Row],[Total Lead Time]]&gt;30,"MEDIUM","TRUE","OPTIMAL")</f>
        <v>MEDIUM</v>
      </c>
      <c r="AD55" s="15">
        <v>0.02</v>
      </c>
    </row>
    <row r="56" spans="1:30" ht="15.75" x14ac:dyDescent="0.25">
      <c r="A56" s="10" t="s">
        <v>21</v>
      </c>
      <c r="B56" s="10" t="s">
        <v>105</v>
      </c>
      <c r="C56" s="10">
        <v>31.1462431602408</v>
      </c>
      <c r="D56" s="10">
        <v>11</v>
      </c>
      <c r="E56" s="10">
        <v>622</v>
      </c>
      <c r="F56" s="10">
        <v>6088.0214799408504</v>
      </c>
      <c r="G56" s="10" t="s">
        <v>23</v>
      </c>
      <c r="H56" s="10">
        <v>33</v>
      </c>
      <c r="I56" s="10">
        <v>22</v>
      </c>
      <c r="J56" s="10">
        <v>61</v>
      </c>
      <c r="K56" s="10">
        <v>3</v>
      </c>
      <c r="L56" s="10" t="s">
        <v>24</v>
      </c>
      <c r="M56" s="11">
        <v>4.3051034712876302</v>
      </c>
      <c r="N56" s="10" t="s">
        <v>36</v>
      </c>
      <c r="O56" s="10" t="s">
        <v>42</v>
      </c>
      <c r="P56" s="10">
        <v>26</v>
      </c>
      <c r="Q56" s="10">
        <v>497</v>
      </c>
      <c r="R56" s="10">
        <v>29</v>
      </c>
      <c r="S56" s="11">
        <v>30.186023375822501</v>
      </c>
      <c r="T56" s="10" t="s">
        <v>61</v>
      </c>
      <c r="U56" s="10">
        <v>2.4787719755397402</v>
      </c>
      <c r="V56" s="10" t="s">
        <v>28</v>
      </c>
      <c r="W56" s="10" t="s">
        <v>29</v>
      </c>
      <c r="X56" s="11">
        <v>814.06999658218695</v>
      </c>
      <c r="Y56" s="11">
        <f>tbl_SupplyChaim[Shipping costs]+tbl_SupplyChaim[Manufacturing costs]+tbl_SupplyChaim[Costs]</f>
        <v>848.56112342929703</v>
      </c>
      <c r="Z56" s="11">
        <f>tbl_SupplyChaim[Revenue Generated]-tbl_SupplyChaim[Total_Cost]</f>
        <v>5239.4603565115531</v>
      </c>
      <c r="AA56" s="11">
        <f>IFERROR(tbl_SupplyChaim[[#This Row],[Revenue Generated]]-(tbl_SupplyChaim[[#This Row],[Total_Cost]]/tbl_SupplyChaim[Revenue Generated]),0)</f>
        <v>6087.8820978565027</v>
      </c>
      <c r="AB56" s="10">
        <f>tbl_SupplyChaim[Manufactuing Lead Time]+tbl_SupplyChaim[Shipping times]+tbl_SupplyChaim[Lead times]</f>
        <v>54</v>
      </c>
      <c r="AC56" s="11" t="str">
        <f>_xlfn.IFS(tbl_SupplyChaim[[#This Row],[Total Lead Time]]&gt;50,"HIGH RISK TIME",tbl_SupplyChaim[[#This Row],[Total Lead Time]]&gt;30,"MEDIUM","TRUE","OPTIMAL")</f>
        <v>HIGH RISK TIME</v>
      </c>
      <c r="AD56" s="15">
        <v>0.02</v>
      </c>
    </row>
    <row r="57" spans="1:30" ht="15.75" x14ac:dyDescent="0.25">
      <c r="A57" s="10" t="s">
        <v>21</v>
      </c>
      <c r="B57" s="10" t="s">
        <v>106</v>
      </c>
      <c r="C57" s="10">
        <v>79.855058340789398</v>
      </c>
      <c r="D57" s="10">
        <v>16</v>
      </c>
      <c r="E57" s="10">
        <v>701</v>
      </c>
      <c r="F57" s="10">
        <v>2925.6751703038099</v>
      </c>
      <c r="G57" s="10" t="s">
        <v>52</v>
      </c>
      <c r="H57" s="10">
        <v>97</v>
      </c>
      <c r="I57" s="10">
        <v>11</v>
      </c>
      <c r="J57" s="10">
        <v>11</v>
      </c>
      <c r="K57" s="10">
        <v>5</v>
      </c>
      <c r="L57" s="10" t="s">
        <v>33</v>
      </c>
      <c r="M57" s="11">
        <v>5.0143649550309002</v>
      </c>
      <c r="N57" s="10" t="s">
        <v>58</v>
      </c>
      <c r="O57" s="10" t="s">
        <v>47</v>
      </c>
      <c r="P57" s="10">
        <v>27</v>
      </c>
      <c r="Q57" s="10">
        <v>918</v>
      </c>
      <c r="R57" s="10">
        <v>5</v>
      </c>
      <c r="S57" s="11">
        <v>30.323545256616502</v>
      </c>
      <c r="T57" s="10" t="s">
        <v>43</v>
      </c>
      <c r="U57" s="10">
        <v>4.5489196593963799</v>
      </c>
      <c r="V57" s="10" t="s">
        <v>53</v>
      </c>
      <c r="W57" s="10" t="s">
        <v>29</v>
      </c>
      <c r="X57" s="11">
        <v>323.01292795247798</v>
      </c>
      <c r="Y57" s="11">
        <f>tbl_SupplyChaim[Shipping costs]+tbl_SupplyChaim[Manufacturing costs]+tbl_SupplyChaim[Costs]</f>
        <v>358.35083816412538</v>
      </c>
      <c r="Z57" s="11">
        <f>tbl_SupplyChaim[Revenue Generated]-tbl_SupplyChaim[Total_Cost]</f>
        <v>2567.3243321396844</v>
      </c>
      <c r="AA57" s="11">
        <f>IFERROR(tbl_SupplyChaim[[#This Row],[Revenue Generated]]-(tbl_SupplyChaim[[#This Row],[Total_Cost]]/tbl_SupplyChaim[Revenue Generated]),0)</f>
        <v>2925.5526854696077</v>
      </c>
      <c r="AB57" s="10">
        <f>tbl_SupplyChaim[Manufactuing Lead Time]+tbl_SupplyChaim[Shipping times]+tbl_SupplyChaim[Lead times]</f>
        <v>21</v>
      </c>
      <c r="AC57" s="11" t="str">
        <f>_xlfn.IFS(tbl_SupplyChaim[[#This Row],[Total Lead Time]]&gt;50,"HIGH RISK TIME",tbl_SupplyChaim[[#This Row],[Total Lead Time]]&gt;30,"MEDIUM","TRUE","OPTIMAL")</f>
        <v>OPTIMAL</v>
      </c>
      <c r="AD57" s="15">
        <v>0.02</v>
      </c>
    </row>
    <row r="58" spans="1:30" ht="15.75" x14ac:dyDescent="0.25">
      <c r="A58" s="10" t="s">
        <v>30</v>
      </c>
      <c r="B58" s="10" t="s">
        <v>107</v>
      </c>
      <c r="C58" s="10">
        <v>20.9863860370433</v>
      </c>
      <c r="D58" s="10">
        <v>90</v>
      </c>
      <c r="E58" s="10">
        <v>93</v>
      </c>
      <c r="F58" s="10">
        <v>4767.0204843441297</v>
      </c>
      <c r="G58" s="10" t="s">
        <v>23</v>
      </c>
      <c r="H58" s="10">
        <v>25</v>
      </c>
      <c r="I58" s="10">
        <v>23</v>
      </c>
      <c r="J58" s="10">
        <v>83</v>
      </c>
      <c r="K58" s="10">
        <v>5</v>
      </c>
      <c r="L58" s="10" t="s">
        <v>40</v>
      </c>
      <c r="M58" s="11">
        <v>1.77442971407173</v>
      </c>
      <c r="N58" s="10" t="s">
        <v>36</v>
      </c>
      <c r="O58" s="10" t="s">
        <v>26</v>
      </c>
      <c r="P58" s="10">
        <v>24</v>
      </c>
      <c r="Q58" s="10">
        <v>826</v>
      </c>
      <c r="R58" s="10">
        <v>28</v>
      </c>
      <c r="S58" s="11">
        <v>12.8362845728327</v>
      </c>
      <c r="T58" s="10" t="s">
        <v>61</v>
      </c>
      <c r="U58" s="10">
        <v>1.1737554953874501</v>
      </c>
      <c r="V58" s="10" t="s">
        <v>37</v>
      </c>
      <c r="W58" s="10" t="s">
        <v>29</v>
      </c>
      <c r="X58" s="11">
        <v>832.210808706021</v>
      </c>
      <c r="Y58" s="11">
        <f>tbl_SupplyChaim[Shipping costs]+tbl_SupplyChaim[Manufacturing costs]+tbl_SupplyChaim[Costs]</f>
        <v>846.82152299292545</v>
      </c>
      <c r="Z58" s="11">
        <f>tbl_SupplyChaim[Revenue Generated]-tbl_SupplyChaim[Total_Cost]</f>
        <v>3920.1989613512042</v>
      </c>
      <c r="AA58" s="11">
        <f>IFERROR(tbl_SupplyChaim[[#This Row],[Revenue Generated]]-(tbl_SupplyChaim[[#This Row],[Total_Cost]]/tbl_SupplyChaim[Revenue Generated]),0)</f>
        <v>4766.8428426650617</v>
      </c>
      <c r="AB58" s="10">
        <f>tbl_SupplyChaim[Manufactuing Lead Time]+tbl_SupplyChaim[Shipping times]+tbl_SupplyChaim[Lead times]</f>
        <v>56</v>
      </c>
      <c r="AC58" s="11" t="str">
        <f>_xlfn.IFS(tbl_SupplyChaim[[#This Row],[Total Lead Time]]&gt;50,"HIGH RISK TIME",tbl_SupplyChaim[[#This Row],[Total Lead Time]]&gt;30,"MEDIUM","TRUE","OPTIMAL")</f>
        <v>HIGH RISK TIME</v>
      </c>
      <c r="AD58" s="15">
        <v>0.02</v>
      </c>
    </row>
    <row r="59" spans="1:30" ht="15.75" x14ac:dyDescent="0.25">
      <c r="A59" s="10" t="s">
        <v>21</v>
      </c>
      <c r="B59" s="10" t="s">
        <v>108</v>
      </c>
      <c r="C59" s="10">
        <v>49.263205350734097</v>
      </c>
      <c r="D59" s="10">
        <v>65</v>
      </c>
      <c r="E59" s="10">
        <v>227</v>
      </c>
      <c r="F59" s="10">
        <v>1605.8669003924001</v>
      </c>
      <c r="G59" s="10" t="s">
        <v>35</v>
      </c>
      <c r="H59" s="10">
        <v>5</v>
      </c>
      <c r="I59" s="10">
        <v>18</v>
      </c>
      <c r="J59" s="10">
        <v>51</v>
      </c>
      <c r="K59" s="10">
        <v>1</v>
      </c>
      <c r="L59" s="10" t="s">
        <v>24</v>
      </c>
      <c r="M59" s="11">
        <v>9.1605585353818704</v>
      </c>
      <c r="N59" s="10" t="s">
        <v>58</v>
      </c>
      <c r="O59" s="10" t="s">
        <v>47</v>
      </c>
      <c r="P59" s="10">
        <v>21</v>
      </c>
      <c r="Q59" s="10">
        <v>588</v>
      </c>
      <c r="R59" s="10">
        <v>25</v>
      </c>
      <c r="S59" s="11">
        <v>67.779622987078099</v>
      </c>
      <c r="T59" s="10" t="s">
        <v>27</v>
      </c>
      <c r="U59" s="10">
        <v>2.5111748302126999</v>
      </c>
      <c r="V59" s="10" t="s">
        <v>44</v>
      </c>
      <c r="W59" s="10" t="s">
        <v>45</v>
      </c>
      <c r="X59" s="11">
        <v>482.19123860252802</v>
      </c>
      <c r="Y59" s="11">
        <f>tbl_SupplyChaim[Shipping costs]+tbl_SupplyChaim[Manufacturing costs]+tbl_SupplyChaim[Costs]</f>
        <v>559.13142012498793</v>
      </c>
      <c r="Z59" s="11">
        <f>tbl_SupplyChaim[Revenue Generated]-tbl_SupplyChaim[Total_Cost]</f>
        <v>1046.7354802674122</v>
      </c>
      <c r="AA59" s="11">
        <f>IFERROR(tbl_SupplyChaim[[#This Row],[Revenue Generated]]-(tbl_SupplyChaim[[#This Row],[Total_Cost]]/tbl_SupplyChaim[Revenue Generated]),0)</f>
        <v>1605.5187199672425</v>
      </c>
      <c r="AB59" s="10">
        <f>tbl_SupplyChaim[Manufactuing Lead Time]+tbl_SupplyChaim[Shipping times]+tbl_SupplyChaim[Lead times]</f>
        <v>44</v>
      </c>
      <c r="AC59" s="11" t="str">
        <f>_xlfn.IFS(tbl_SupplyChaim[[#This Row],[Total Lead Time]]&gt;50,"HIGH RISK TIME",tbl_SupplyChaim[[#This Row],[Total Lead Time]]&gt;30,"MEDIUM","TRUE","OPTIMAL")</f>
        <v>MEDIUM</v>
      </c>
      <c r="AD59" s="15">
        <v>0.02</v>
      </c>
    </row>
    <row r="60" spans="1:30" ht="15.75" x14ac:dyDescent="0.25">
      <c r="A60" s="10" t="s">
        <v>30</v>
      </c>
      <c r="B60" s="10" t="s">
        <v>109</v>
      </c>
      <c r="C60" s="10">
        <v>59.841561377289302</v>
      </c>
      <c r="D60" s="10">
        <v>81</v>
      </c>
      <c r="E60" s="10">
        <v>896</v>
      </c>
      <c r="F60" s="10">
        <v>2021.1498103371</v>
      </c>
      <c r="G60" s="10" t="s">
        <v>23</v>
      </c>
      <c r="H60" s="10">
        <v>10</v>
      </c>
      <c r="I60" s="10">
        <v>5</v>
      </c>
      <c r="J60" s="10">
        <v>44</v>
      </c>
      <c r="K60" s="10">
        <v>7</v>
      </c>
      <c r="L60" s="10" t="s">
        <v>33</v>
      </c>
      <c r="M60" s="11">
        <v>4.9384385647120901</v>
      </c>
      <c r="N60" s="10" t="s">
        <v>25</v>
      </c>
      <c r="O60" s="10" t="s">
        <v>47</v>
      </c>
      <c r="P60" s="10">
        <v>18</v>
      </c>
      <c r="Q60" s="10">
        <v>396</v>
      </c>
      <c r="R60" s="10">
        <v>7</v>
      </c>
      <c r="S60" s="11">
        <v>65.047415094691402</v>
      </c>
      <c r="T60" s="10" t="s">
        <v>43</v>
      </c>
      <c r="U60" s="10">
        <v>1.7303747198591899</v>
      </c>
      <c r="V60" s="10" t="s">
        <v>28</v>
      </c>
      <c r="W60" s="10" t="s">
        <v>29</v>
      </c>
      <c r="X60" s="11">
        <v>110.364335231364</v>
      </c>
      <c r="Y60" s="11">
        <f>tbl_SupplyChaim[Shipping costs]+tbl_SupplyChaim[Manufacturing costs]+tbl_SupplyChaim[Costs]</f>
        <v>180.35018889076747</v>
      </c>
      <c r="Z60" s="11">
        <f>tbl_SupplyChaim[Revenue Generated]-tbl_SupplyChaim[Total_Cost]</f>
        <v>1840.7996214463326</v>
      </c>
      <c r="AA60" s="11">
        <f>IFERROR(tbl_SupplyChaim[[#This Row],[Revenue Generated]]-(tbl_SupplyChaim[[#This Row],[Total_Cost]]/tbl_SupplyChaim[Revenue Generated]),0)</f>
        <v>2021.0605788570938</v>
      </c>
      <c r="AB60" s="10">
        <f>tbl_SupplyChaim[Manufactuing Lead Time]+tbl_SupplyChaim[Shipping times]+tbl_SupplyChaim[Lead times]</f>
        <v>19</v>
      </c>
      <c r="AC60" s="11" t="str">
        <f>_xlfn.IFS(tbl_SupplyChaim[[#This Row],[Total Lead Time]]&gt;50,"HIGH RISK TIME",tbl_SupplyChaim[[#This Row],[Total Lead Time]]&gt;30,"MEDIUM","TRUE","OPTIMAL")</f>
        <v>OPTIMAL</v>
      </c>
      <c r="AD60" s="15">
        <v>0.02</v>
      </c>
    </row>
    <row r="61" spans="1:30" ht="15.75" x14ac:dyDescent="0.25">
      <c r="A61" s="10" t="s">
        <v>54</v>
      </c>
      <c r="B61" s="10" t="s">
        <v>110</v>
      </c>
      <c r="C61" s="10">
        <v>63.828398347710902</v>
      </c>
      <c r="D61" s="10">
        <v>30</v>
      </c>
      <c r="E61" s="10">
        <v>484</v>
      </c>
      <c r="F61" s="10">
        <v>1061.6185230132801</v>
      </c>
      <c r="G61" s="10" t="s">
        <v>23</v>
      </c>
      <c r="H61" s="10">
        <v>100</v>
      </c>
      <c r="I61" s="10">
        <v>16</v>
      </c>
      <c r="J61" s="10">
        <v>26</v>
      </c>
      <c r="K61" s="10">
        <v>7</v>
      </c>
      <c r="L61" s="10" t="s">
        <v>24</v>
      </c>
      <c r="M61" s="11">
        <v>7.2937225968677204</v>
      </c>
      <c r="N61" s="10" t="s">
        <v>36</v>
      </c>
      <c r="O61" s="10" t="s">
        <v>42</v>
      </c>
      <c r="P61" s="10">
        <v>11</v>
      </c>
      <c r="Q61" s="10">
        <v>176</v>
      </c>
      <c r="R61" s="10">
        <v>4</v>
      </c>
      <c r="S61" s="11">
        <v>1.90076224351945</v>
      </c>
      <c r="T61" s="10" t="s">
        <v>43</v>
      </c>
      <c r="U61" s="10">
        <v>0.44719401546382298</v>
      </c>
      <c r="V61" s="10" t="s">
        <v>37</v>
      </c>
      <c r="W61" s="10" t="s">
        <v>45</v>
      </c>
      <c r="X61" s="11">
        <v>312.57427361009297</v>
      </c>
      <c r="Y61" s="11">
        <f>tbl_SupplyChaim[Shipping costs]+tbl_SupplyChaim[Manufacturing costs]+tbl_SupplyChaim[Costs]</f>
        <v>321.76875845048016</v>
      </c>
      <c r="Z61" s="11">
        <f>tbl_SupplyChaim[Revenue Generated]-tbl_SupplyChaim[Total_Cost]</f>
        <v>739.84976456279992</v>
      </c>
      <c r="AA61" s="11">
        <f>IFERROR(tbl_SupplyChaim[[#This Row],[Revenue Generated]]-(tbl_SupplyChaim[[#This Row],[Total_Cost]]/tbl_SupplyChaim[Revenue Generated]),0)</f>
        <v>1061.3154303755055</v>
      </c>
      <c r="AB61" s="10">
        <f>tbl_SupplyChaim[Manufactuing Lead Time]+tbl_SupplyChaim[Shipping times]+tbl_SupplyChaim[Lead times]</f>
        <v>27</v>
      </c>
      <c r="AC61" s="11" t="str">
        <f>_xlfn.IFS(tbl_SupplyChaim[[#This Row],[Total Lead Time]]&gt;50,"HIGH RISK TIME",tbl_SupplyChaim[[#This Row],[Total Lead Time]]&gt;30,"MEDIUM","TRUE","OPTIMAL")</f>
        <v>OPTIMAL</v>
      </c>
      <c r="AD61" s="15">
        <v>0.02</v>
      </c>
    </row>
    <row r="62" spans="1:30" ht="15.75" x14ac:dyDescent="0.25">
      <c r="A62" s="10" t="s">
        <v>30</v>
      </c>
      <c r="B62" s="10" t="s">
        <v>111</v>
      </c>
      <c r="C62" s="10">
        <v>17.028027920188698</v>
      </c>
      <c r="D62" s="10">
        <v>16</v>
      </c>
      <c r="E62" s="10">
        <v>380</v>
      </c>
      <c r="F62" s="10">
        <v>8864.0843495864301</v>
      </c>
      <c r="G62" s="10" t="s">
        <v>32</v>
      </c>
      <c r="H62" s="10">
        <v>41</v>
      </c>
      <c r="I62" s="10">
        <v>27</v>
      </c>
      <c r="J62" s="10">
        <v>72</v>
      </c>
      <c r="K62" s="10">
        <v>8</v>
      </c>
      <c r="L62" s="10" t="s">
        <v>40</v>
      </c>
      <c r="M62" s="11">
        <v>4.3813681581023101</v>
      </c>
      <c r="N62" s="10" t="s">
        <v>49</v>
      </c>
      <c r="O62" s="10" t="s">
        <v>26</v>
      </c>
      <c r="P62" s="10">
        <v>29</v>
      </c>
      <c r="Q62" s="10">
        <v>929</v>
      </c>
      <c r="R62" s="10">
        <v>24</v>
      </c>
      <c r="S62" s="11">
        <v>87.213057815135599</v>
      </c>
      <c r="T62" s="10" t="s">
        <v>43</v>
      </c>
      <c r="U62" s="10">
        <v>2.8530906166490499</v>
      </c>
      <c r="V62" s="10" t="s">
        <v>44</v>
      </c>
      <c r="W62" s="10" t="s">
        <v>45</v>
      </c>
      <c r="X62" s="11">
        <v>430.16909697513597</v>
      </c>
      <c r="Y62" s="11">
        <f>tbl_SupplyChaim[Shipping costs]+tbl_SupplyChaim[Manufacturing costs]+tbl_SupplyChaim[Costs]</f>
        <v>521.76352294837386</v>
      </c>
      <c r="Z62" s="11">
        <f>tbl_SupplyChaim[Revenue Generated]-tbl_SupplyChaim[Total_Cost]</f>
        <v>8342.320826638057</v>
      </c>
      <c r="AA62" s="11">
        <f>IFERROR(tbl_SupplyChaim[[#This Row],[Revenue Generated]]-(tbl_SupplyChaim[[#This Row],[Total_Cost]]/tbl_SupplyChaim[Revenue Generated]),0)</f>
        <v>8864.0254869332366</v>
      </c>
      <c r="AB62" s="10">
        <f>tbl_SupplyChaim[Manufactuing Lead Time]+tbl_SupplyChaim[Shipping times]+tbl_SupplyChaim[Lead times]</f>
        <v>59</v>
      </c>
      <c r="AC62" s="11" t="str">
        <f>_xlfn.IFS(tbl_SupplyChaim[[#This Row],[Total Lead Time]]&gt;50,"HIGH RISK TIME",tbl_SupplyChaim[[#This Row],[Total Lead Time]]&gt;30,"MEDIUM","TRUE","OPTIMAL")</f>
        <v>HIGH RISK TIME</v>
      </c>
      <c r="AD62" s="15">
        <v>0.02</v>
      </c>
    </row>
    <row r="63" spans="1:30" ht="15.75" x14ac:dyDescent="0.25">
      <c r="A63" s="10" t="s">
        <v>21</v>
      </c>
      <c r="B63" s="10" t="s">
        <v>112</v>
      </c>
      <c r="C63" s="10">
        <v>52.028749903294901</v>
      </c>
      <c r="D63" s="10">
        <v>23</v>
      </c>
      <c r="E63" s="10">
        <v>117</v>
      </c>
      <c r="F63" s="10">
        <v>6885.5893508962499</v>
      </c>
      <c r="G63" s="10" t="s">
        <v>35</v>
      </c>
      <c r="H63" s="10">
        <v>32</v>
      </c>
      <c r="I63" s="10">
        <v>23</v>
      </c>
      <c r="J63" s="10">
        <v>36</v>
      </c>
      <c r="K63" s="10">
        <v>7</v>
      </c>
      <c r="L63" s="10" t="s">
        <v>40</v>
      </c>
      <c r="M63" s="11">
        <v>9.0303404225219399</v>
      </c>
      <c r="N63" s="10" t="s">
        <v>49</v>
      </c>
      <c r="O63" s="10" t="s">
        <v>42</v>
      </c>
      <c r="P63" s="10">
        <v>14</v>
      </c>
      <c r="Q63" s="10">
        <v>480</v>
      </c>
      <c r="R63" s="10">
        <v>12</v>
      </c>
      <c r="S63" s="11">
        <v>78.702393968878894</v>
      </c>
      <c r="T63" s="10" t="s">
        <v>43</v>
      </c>
      <c r="U63" s="10">
        <v>4.3674705382050503</v>
      </c>
      <c r="V63" s="10" t="s">
        <v>37</v>
      </c>
      <c r="W63" s="10" t="s">
        <v>45</v>
      </c>
      <c r="X63" s="11">
        <v>164.366528243419</v>
      </c>
      <c r="Y63" s="11">
        <f>tbl_SupplyChaim[Shipping costs]+tbl_SupplyChaim[Manufacturing costs]+tbl_SupplyChaim[Costs]</f>
        <v>252.09926263481984</v>
      </c>
      <c r="Z63" s="11">
        <f>tbl_SupplyChaim[Revenue Generated]-tbl_SupplyChaim[Total_Cost]</f>
        <v>6633.4900882614302</v>
      </c>
      <c r="AA63" s="11">
        <f>IFERROR(tbl_SupplyChaim[[#This Row],[Revenue Generated]]-(tbl_SupplyChaim[[#This Row],[Total_Cost]]/tbl_SupplyChaim[Revenue Generated]),0)</f>
        <v>6885.5527383058397</v>
      </c>
      <c r="AB63" s="10">
        <f>tbl_SupplyChaim[Manufactuing Lead Time]+tbl_SupplyChaim[Shipping times]+tbl_SupplyChaim[Lead times]</f>
        <v>42</v>
      </c>
      <c r="AC63" s="11" t="str">
        <f>_xlfn.IFS(tbl_SupplyChaim[[#This Row],[Total Lead Time]]&gt;50,"HIGH RISK TIME",tbl_SupplyChaim[[#This Row],[Total Lead Time]]&gt;30,"MEDIUM","TRUE","OPTIMAL")</f>
        <v>MEDIUM</v>
      </c>
      <c r="AD63" s="15">
        <v>0.02</v>
      </c>
    </row>
    <row r="64" spans="1:30" ht="15.75" x14ac:dyDescent="0.25">
      <c r="A64" s="10" t="s">
        <v>54</v>
      </c>
      <c r="B64" s="10" t="s">
        <v>113</v>
      </c>
      <c r="C64" s="10">
        <v>72.796353955587307</v>
      </c>
      <c r="D64" s="10">
        <v>89</v>
      </c>
      <c r="E64" s="10">
        <v>270</v>
      </c>
      <c r="F64" s="10">
        <v>3899.7468337292198</v>
      </c>
      <c r="G64" s="10" t="s">
        <v>35</v>
      </c>
      <c r="H64" s="10">
        <v>86</v>
      </c>
      <c r="I64" s="10">
        <v>2</v>
      </c>
      <c r="J64" s="10">
        <v>40</v>
      </c>
      <c r="K64" s="10">
        <v>7</v>
      </c>
      <c r="L64" s="10" t="s">
        <v>40</v>
      </c>
      <c r="M64" s="11">
        <v>7.2917013887767697</v>
      </c>
      <c r="N64" s="10" t="s">
        <v>58</v>
      </c>
      <c r="O64" s="10" t="s">
        <v>26</v>
      </c>
      <c r="P64" s="10">
        <v>13</v>
      </c>
      <c r="Q64" s="10">
        <v>751</v>
      </c>
      <c r="R64" s="10">
        <v>14</v>
      </c>
      <c r="S64" s="11">
        <v>21.048642725168602</v>
      </c>
      <c r="T64" s="10" t="s">
        <v>61</v>
      </c>
      <c r="U64" s="10">
        <v>1.87400140404437</v>
      </c>
      <c r="V64" s="10" t="s">
        <v>53</v>
      </c>
      <c r="W64" s="10" t="s">
        <v>38</v>
      </c>
      <c r="X64" s="11">
        <v>320.84651575911101</v>
      </c>
      <c r="Y64" s="11">
        <f>tbl_SupplyChaim[Shipping costs]+tbl_SupplyChaim[Manufacturing costs]+tbl_SupplyChaim[Costs]</f>
        <v>349.18685987305639</v>
      </c>
      <c r="Z64" s="11">
        <f>tbl_SupplyChaim[Revenue Generated]-tbl_SupplyChaim[Total_Cost]</f>
        <v>3550.5599738561632</v>
      </c>
      <c r="AA64" s="11">
        <f>IFERROR(tbl_SupplyChaim[[#This Row],[Revenue Generated]]-(tbl_SupplyChaim[[#This Row],[Total_Cost]]/tbl_SupplyChaim[Revenue Generated]),0)</f>
        <v>3899.6572928244482</v>
      </c>
      <c r="AB64" s="10">
        <f>tbl_SupplyChaim[Manufactuing Lead Time]+tbl_SupplyChaim[Shipping times]+tbl_SupplyChaim[Lead times]</f>
        <v>23</v>
      </c>
      <c r="AC64" s="11" t="str">
        <f>_xlfn.IFS(tbl_SupplyChaim[[#This Row],[Total Lead Time]]&gt;50,"HIGH RISK TIME",tbl_SupplyChaim[[#This Row],[Total Lead Time]]&gt;30,"MEDIUM","TRUE","OPTIMAL")</f>
        <v>OPTIMAL</v>
      </c>
      <c r="AD64" s="15">
        <v>0.02</v>
      </c>
    </row>
    <row r="65" spans="1:30" ht="15.75" x14ac:dyDescent="0.25">
      <c r="A65" s="10" t="s">
        <v>30</v>
      </c>
      <c r="B65" s="10" t="s">
        <v>114</v>
      </c>
      <c r="C65" s="10">
        <v>13.0173767852878</v>
      </c>
      <c r="D65" s="10">
        <v>55</v>
      </c>
      <c r="E65" s="10">
        <v>246</v>
      </c>
      <c r="F65" s="10">
        <v>4256.9491408502199</v>
      </c>
      <c r="G65" s="10" t="s">
        <v>23</v>
      </c>
      <c r="H65" s="10">
        <v>54</v>
      </c>
      <c r="I65" s="10">
        <v>19</v>
      </c>
      <c r="J65" s="10">
        <v>10</v>
      </c>
      <c r="K65" s="10">
        <v>4</v>
      </c>
      <c r="L65" s="10" t="s">
        <v>33</v>
      </c>
      <c r="M65" s="11">
        <v>2.45793352798733</v>
      </c>
      <c r="N65" s="10" t="s">
        <v>25</v>
      </c>
      <c r="O65" s="10" t="s">
        <v>50</v>
      </c>
      <c r="P65" s="10">
        <v>18</v>
      </c>
      <c r="Q65" s="10">
        <v>736</v>
      </c>
      <c r="R65" s="10">
        <v>10</v>
      </c>
      <c r="S65" s="11">
        <v>20.075003975630398</v>
      </c>
      <c r="T65" s="10" t="s">
        <v>27</v>
      </c>
      <c r="U65" s="10">
        <v>3.6328432903821302</v>
      </c>
      <c r="V65" s="10" t="s">
        <v>53</v>
      </c>
      <c r="W65" s="10" t="s">
        <v>45</v>
      </c>
      <c r="X65" s="11">
        <v>687.28617786641701</v>
      </c>
      <c r="Y65" s="11">
        <f>tbl_SupplyChaim[Shipping costs]+tbl_SupplyChaim[Manufacturing costs]+tbl_SupplyChaim[Costs]</f>
        <v>709.81911537003475</v>
      </c>
      <c r="Z65" s="11">
        <f>tbl_SupplyChaim[Revenue Generated]-tbl_SupplyChaim[Total_Cost]</f>
        <v>3547.1300254801854</v>
      </c>
      <c r="AA65" s="11">
        <f>IFERROR(tbl_SupplyChaim[[#This Row],[Revenue Generated]]-(tbl_SupplyChaim[[#This Row],[Total_Cost]]/tbl_SupplyChaim[Revenue Generated]),0)</f>
        <v>4256.7823972289352</v>
      </c>
      <c r="AB65" s="10">
        <f>tbl_SupplyChaim[Manufactuing Lead Time]+tbl_SupplyChaim[Shipping times]+tbl_SupplyChaim[Lead times]</f>
        <v>33</v>
      </c>
      <c r="AC65" s="11" t="str">
        <f>_xlfn.IFS(tbl_SupplyChaim[[#This Row],[Total Lead Time]]&gt;50,"HIGH RISK TIME",tbl_SupplyChaim[[#This Row],[Total Lead Time]]&gt;30,"MEDIUM","TRUE","OPTIMAL")</f>
        <v>MEDIUM</v>
      </c>
      <c r="AD65" s="15">
        <v>0.02</v>
      </c>
    </row>
    <row r="66" spans="1:30" ht="15.75" x14ac:dyDescent="0.25">
      <c r="A66" s="10" t="s">
        <v>30</v>
      </c>
      <c r="B66" s="10" t="s">
        <v>115</v>
      </c>
      <c r="C66" s="10">
        <v>89.634095608135297</v>
      </c>
      <c r="D66" s="10">
        <v>11</v>
      </c>
      <c r="E66" s="10">
        <v>134</v>
      </c>
      <c r="F66" s="10">
        <v>8458.7308783671706</v>
      </c>
      <c r="G66" s="10" t="s">
        <v>32</v>
      </c>
      <c r="H66" s="10">
        <v>73</v>
      </c>
      <c r="I66" s="10">
        <v>27</v>
      </c>
      <c r="J66" s="10">
        <v>75</v>
      </c>
      <c r="K66" s="10">
        <v>6</v>
      </c>
      <c r="L66" s="10" t="s">
        <v>40</v>
      </c>
      <c r="M66" s="11">
        <v>4.5853534681946497</v>
      </c>
      <c r="N66" s="10" t="s">
        <v>36</v>
      </c>
      <c r="O66" s="10" t="s">
        <v>47</v>
      </c>
      <c r="P66" s="10">
        <v>17</v>
      </c>
      <c r="Q66" s="10">
        <v>328</v>
      </c>
      <c r="R66" s="10">
        <v>6</v>
      </c>
      <c r="S66" s="11">
        <v>8.6930424258772803</v>
      </c>
      <c r="T66" s="10" t="s">
        <v>43</v>
      </c>
      <c r="U66" s="10">
        <v>0.15948631471751401</v>
      </c>
      <c r="V66" s="10" t="s">
        <v>37</v>
      </c>
      <c r="W66" s="10" t="s">
        <v>38</v>
      </c>
      <c r="X66" s="11">
        <v>771.225084681157</v>
      </c>
      <c r="Y66" s="11">
        <f>tbl_SupplyChaim[Shipping costs]+tbl_SupplyChaim[Manufacturing costs]+tbl_SupplyChaim[Costs]</f>
        <v>784.50348057522888</v>
      </c>
      <c r="Z66" s="11">
        <f>tbl_SupplyChaim[Revenue Generated]-tbl_SupplyChaim[Total_Cost]</f>
        <v>7674.2273977919413</v>
      </c>
      <c r="AA66" s="11">
        <f>IFERROR(tbl_SupplyChaim[[#This Row],[Revenue Generated]]-(tbl_SupplyChaim[[#This Row],[Total_Cost]]/tbl_SupplyChaim[Revenue Generated]),0)</f>
        <v>8458.6381335462447</v>
      </c>
      <c r="AB66" s="10">
        <f>tbl_SupplyChaim[Manufactuing Lead Time]+tbl_SupplyChaim[Shipping times]+tbl_SupplyChaim[Lead times]</f>
        <v>39</v>
      </c>
      <c r="AC66" s="11" t="str">
        <f>_xlfn.IFS(tbl_SupplyChaim[[#This Row],[Total Lead Time]]&gt;50,"HIGH RISK TIME",tbl_SupplyChaim[[#This Row],[Total Lead Time]]&gt;30,"MEDIUM","TRUE","OPTIMAL")</f>
        <v>MEDIUM</v>
      </c>
      <c r="AD66" s="15">
        <v>0.02</v>
      </c>
    </row>
    <row r="67" spans="1:30" ht="15.75" x14ac:dyDescent="0.25">
      <c r="A67" s="10" t="s">
        <v>30</v>
      </c>
      <c r="B67" s="10" t="s">
        <v>116</v>
      </c>
      <c r="C67" s="10">
        <v>33.697717206643098</v>
      </c>
      <c r="D67" s="10">
        <v>72</v>
      </c>
      <c r="E67" s="10">
        <v>457</v>
      </c>
      <c r="F67" s="10">
        <v>8354.5796864819895</v>
      </c>
      <c r="G67" s="10" t="s">
        <v>52</v>
      </c>
      <c r="H67" s="10">
        <v>57</v>
      </c>
      <c r="I67" s="10">
        <v>24</v>
      </c>
      <c r="J67" s="10">
        <v>54</v>
      </c>
      <c r="K67" s="10">
        <v>8</v>
      </c>
      <c r="L67" s="10" t="s">
        <v>40</v>
      </c>
      <c r="M67" s="11">
        <v>6.5805413478845898</v>
      </c>
      <c r="N67" s="10" t="s">
        <v>41</v>
      </c>
      <c r="O67" s="10" t="s">
        <v>42</v>
      </c>
      <c r="P67" s="10">
        <v>16</v>
      </c>
      <c r="Q67" s="10">
        <v>358</v>
      </c>
      <c r="R67" s="10">
        <v>21</v>
      </c>
      <c r="S67" s="11">
        <v>1.59722274305067</v>
      </c>
      <c r="T67" s="10" t="s">
        <v>43</v>
      </c>
      <c r="U67" s="10">
        <v>4.9110959548423301</v>
      </c>
      <c r="V67" s="10" t="s">
        <v>44</v>
      </c>
      <c r="W67" s="10" t="s">
        <v>38</v>
      </c>
      <c r="X67" s="11">
        <v>555.85910367174301</v>
      </c>
      <c r="Y67" s="11">
        <f>tbl_SupplyChaim[Shipping costs]+tbl_SupplyChaim[Manufacturing costs]+tbl_SupplyChaim[Costs]</f>
        <v>564.0368677626783</v>
      </c>
      <c r="Z67" s="11">
        <f>tbl_SupplyChaim[Revenue Generated]-tbl_SupplyChaim[Total_Cost]</f>
        <v>7790.5428187193111</v>
      </c>
      <c r="AA67" s="11">
        <f>IFERROR(tbl_SupplyChaim[[#This Row],[Revenue Generated]]-(tbl_SupplyChaim[[#This Row],[Total_Cost]]/tbl_SupplyChaim[Revenue Generated]),0)</f>
        <v>8354.5121741846706</v>
      </c>
      <c r="AB67" s="10">
        <f>tbl_SupplyChaim[Manufactuing Lead Time]+tbl_SupplyChaim[Shipping times]+tbl_SupplyChaim[Lead times]</f>
        <v>53</v>
      </c>
      <c r="AC67" s="11" t="str">
        <f>_xlfn.IFS(tbl_SupplyChaim[[#This Row],[Total Lead Time]]&gt;50,"HIGH RISK TIME",tbl_SupplyChaim[[#This Row],[Total Lead Time]]&gt;30,"MEDIUM","TRUE","OPTIMAL")</f>
        <v>HIGH RISK TIME</v>
      </c>
      <c r="AD67" s="15">
        <v>0.02</v>
      </c>
    </row>
    <row r="68" spans="1:30" ht="15.75" x14ac:dyDescent="0.25">
      <c r="A68" s="10" t="s">
        <v>30</v>
      </c>
      <c r="B68" s="10" t="s">
        <v>117</v>
      </c>
      <c r="C68" s="10">
        <v>26.034869773962001</v>
      </c>
      <c r="D68" s="10">
        <v>52</v>
      </c>
      <c r="E68" s="10">
        <v>704</v>
      </c>
      <c r="F68" s="10">
        <v>8367.7216180201503</v>
      </c>
      <c r="G68" s="10" t="s">
        <v>32</v>
      </c>
      <c r="H68" s="10">
        <v>13</v>
      </c>
      <c r="I68" s="10">
        <v>17</v>
      </c>
      <c r="J68" s="10">
        <v>19</v>
      </c>
      <c r="K68" s="10">
        <v>8</v>
      </c>
      <c r="L68" s="10" t="s">
        <v>33</v>
      </c>
      <c r="M68" s="11">
        <v>2.2161427287713602</v>
      </c>
      <c r="N68" s="10" t="s">
        <v>41</v>
      </c>
      <c r="O68" s="10" t="s">
        <v>42</v>
      </c>
      <c r="P68" s="10">
        <v>24</v>
      </c>
      <c r="Q68" s="10">
        <v>867</v>
      </c>
      <c r="R68" s="10">
        <v>28</v>
      </c>
      <c r="S68" s="11">
        <v>42.084436738309897</v>
      </c>
      <c r="T68" s="10" t="s">
        <v>43</v>
      </c>
      <c r="U68" s="10">
        <v>3.44806328834026</v>
      </c>
      <c r="V68" s="10" t="s">
        <v>28</v>
      </c>
      <c r="W68" s="10" t="s">
        <v>45</v>
      </c>
      <c r="X68" s="11">
        <v>393.84334857842703</v>
      </c>
      <c r="Y68" s="11">
        <f>tbl_SupplyChaim[Shipping costs]+tbl_SupplyChaim[Manufacturing costs]+tbl_SupplyChaim[Costs]</f>
        <v>438.14392804550829</v>
      </c>
      <c r="Z68" s="11">
        <f>tbl_SupplyChaim[Revenue Generated]-tbl_SupplyChaim[Total_Cost]</f>
        <v>7929.5776899746425</v>
      </c>
      <c r="AA68" s="11">
        <f>IFERROR(tbl_SupplyChaim[[#This Row],[Revenue Generated]]-(tbl_SupplyChaim[[#This Row],[Total_Cost]]/tbl_SupplyChaim[Revenue Generated]),0)</f>
        <v>8367.6692568221988</v>
      </c>
      <c r="AB68" s="10">
        <f>tbl_SupplyChaim[Manufactuing Lead Time]+tbl_SupplyChaim[Shipping times]+tbl_SupplyChaim[Lead times]</f>
        <v>53</v>
      </c>
      <c r="AC68" s="11" t="str">
        <f>_xlfn.IFS(tbl_SupplyChaim[[#This Row],[Total Lead Time]]&gt;50,"HIGH RISK TIME",tbl_SupplyChaim[[#This Row],[Total Lead Time]]&gt;30,"MEDIUM","TRUE","OPTIMAL")</f>
        <v>HIGH RISK TIME</v>
      </c>
      <c r="AD68" s="15">
        <v>0.02</v>
      </c>
    </row>
    <row r="69" spans="1:30" ht="15.75" x14ac:dyDescent="0.25">
      <c r="A69" s="10" t="s">
        <v>30</v>
      </c>
      <c r="B69" s="10" t="s">
        <v>118</v>
      </c>
      <c r="C69" s="10">
        <v>87.755432354001002</v>
      </c>
      <c r="D69" s="10">
        <v>16</v>
      </c>
      <c r="E69" s="10">
        <v>513</v>
      </c>
      <c r="F69" s="10">
        <v>9473.7980325083299</v>
      </c>
      <c r="G69" s="10" t="s">
        <v>35</v>
      </c>
      <c r="H69" s="10">
        <v>12</v>
      </c>
      <c r="I69" s="10">
        <v>9</v>
      </c>
      <c r="J69" s="10">
        <v>71</v>
      </c>
      <c r="K69" s="10">
        <v>9</v>
      </c>
      <c r="L69" s="10" t="s">
        <v>40</v>
      </c>
      <c r="M69" s="11">
        <v>9.1478115447106294</v>
      </c>
      <c r="N69" s="10" t="s">
        <v>36</v>
      </c>
      <c r="O69" s="10" t="s">
        <v>26</v>
      </c>
      <c r="P69" s="10">
        <v>10</v>
      </c>
      <c r="Q69" s="10">
        <v>198</v>
      </c>
      <c r="R69" s="10">
        <v>11</v>
      </c>
      <c r="S69" s="11">
        <v>7.0578761469782298</v>
      </c>
      <c r="T69" s="10" t="s">
        <v>61</v>
      </c>
      <c r="U69" s="10">
        <v>0.131955444311814</v>
      </c>
      <c r="V69" s="10" t="s">
        <v>53</v>
      </c>
      <c r="W69" s="10" t="s">
        <v>38</v>
      </c>
      <c r="X69" s="11">
        <v>169.27180138478599</v>
      </c>
      <c r="Y69" s="11">
        <f>tbl_SupplyChaim[Shipping costs]+tbl_SupplyChaim[Manufacturing costs]+tbl_SupplyChaim[Costs]</f>
        <v>185.47748907647485</v>
      </c>
      <c r="Z69" s="11">
        <f>tbl_SupplyChaim[Revenue Generated]-tbl_SupplyChaim[Total_Cost]</f>
        <v>9288.3205434318552</v>
      </c>
      <c r="AA69" s="11">
        <f>IFERROR(tbl_SupplyChaim[[#This Row],[Revenue Generated]]-(tbl_SupplyChaim[[#This Row],[Total_Cost]]/tbl_SupplyChaim[Revenue Generated]),0)</f>
        <v>9473.778454564148</v>
      </c>
      <c r="AB69" s="10">
        <f>tbl_SupplyChaim[Manufactuing Lead Time]+tbl_SupplyChaim[Shipping times]+tbl_SupplyChaim[Lead times]</f>
        <v>29</v>
      </c>
      <c r="AC69" s="11" t="str">
        <f>_xlfn.IFS(tbl_SupplyChaim[[#This Row],[Total Lead Time]]&gt;50,"HIGH RISK TIME",tbl_SupplyChaim[[#This Row],[Total Lead Time]]&gt;30,"MEDIUM","TRUE","OPTIMAL")</f>
        <v>OPTIMAL</v>
      </c>
      <c r="AD69" s="15">
        <v>0.02</v>
      </c>
    </row>
    <row r="70" spans="1:30" ht="15.75" x14ac:dyDescent="0.25">
      <c r="A70" s="10" t="s">
        <v>21</v>
      </c>
      <c r="B70" s="10" t="s">
        <v>119</v>
      </c>
      <c r="C70" s="10">
        <v>37.931812382790298</v>
      </c>
      <c r="D70" s="10">
        <v>29</v>
      </c>
      <c r="E70" s="10">
        <v>163</v>
      </c>
      <c r="F70" s="10">
        <v>3550.21843278099</v>
      </c>
      <c r="G70" s="10" t="s">
        <v>23</v>
      </c>
      <c r="H70" s="10">
        <v>0</v>
      </c>
      <c r="I70" s="10">
        <v>8</v>
      </c>
      <c r="J70" s="10">
        <v>58</v>
      </c>
      <c r="K70" s="10">
        <v>8</v>
      </c>
      <c r="L70" s="10" t="s">
        <v>24</v>
      </c>
      <c r="M70" s="11">
        <v>1.19425186488499</v>
      </c>
      <c r="N70" s="10" t="s">
        <v>58</v>
      </c>
      <c r="O70" s="10" t="s">
        <v>50</v>
      </c>
      <c r="P70" s="10">
        <v>2</v>
      </c>
      <c r="Q70" s="10">
        <v>375</v>
      </c>
      <c r="R70" s="10">
        <v>18</v>
      </c>
      <c r="S70" s="11">
        <v>97.113581563462205</v>
      </c>
      <c r="T70" s="10" t="s">
        <v>43</v>
      </c>
      <c r="U70" s="10">
        <v>1.9834678721741801</v>
      </c>
      <c r="V70" s="10" t="s">
        <v>44</v>
      </c>
      <c r="W70" s="10" t="s">
        <v>45</v>
      </c>
      <c r="X70" s="11">
        <v>299.70630311810299</v>
      </c>
      <c r="Y70" s="11">
        <f>tbl_SupplyChaim[Shipping costs]+tbl_SupplyChaim[Manufacturing costs]+tbl_SupplyChaim[Costs]</f>
        <v>398.01413654645017</v>
      </c>
      <c r="Z70" s="11">
        <f>tbl_SupplyChaim[Revenue Generated]-tbl_SupplyChaim[Total_Cost]</f>
        <v>3152.2042962345399</v>
      </c>
      <c r="AA70" s="11">
        <f>IFERROR(tbl_SupplyChaim[[#This Row],[Revenue Generated]]-(tbl_SupplyChaim[[#This Row],[Total_Cost]]/tbl_SupplyChaim[Revenue Generated]),0)</f>
        <v>3550.106323020962</v>
      </c>
      <c r="AB70" s="10">
        <f>tbl_SupplyChaim[Manufactuing Lead Time]+tbl_SupplyChaim[Shipping times]+tbl_SupplyChaim[Lead times]</f>
        <v>34</v>
      </c>
      <c r="AC70" s="11" t="str">
        <f>_xlfn.IFS(tbl_SupplyChaim[[#This Row],[Total Lead Time]]&gt;50,"HIGH RISK TIME",tbl_SupplyChaim[[#This Row],[Total Lead Time]]&gt;30,"MEDIUM","TRUE","OPTIMAL")</f>
        <v>MEDIUM</v>
      </c>
      <c r="AD70" s="15">
        <v>0.02</v>
      </c>
    </row>
    <row r="71" spans="1:30" ht="15.75" x14ac:dyDescent="0.25">
      <c r="A71" s="10" t="s">
        <v>30</v>
      </c>
      <c r="B71" s="10" t="s">
        <v>120</v>
      </c>
      <c r="C71" s="10">
        <v>54.865528517069698</v>
      </c>
      <c r="D71" s="10">
        <v>62</v>
      </c>
      <c r="E71" s="10">
        <v>511</v>
      </c>
      <c r="F71" s="10">
        <v>1752.3810874841199</v>
      </c>
      <c r="G71" s="10" t="s">
        <v>23</v>
      </c>
      <c r="H71" s="10">
        <v>95</v>
      </c>
      <c r="I71" s="10">
        <v>1</v>
      </c>
      <c r="J71" s="10">
        <v>27</v>
      </c>
      <c r="K71" s="10">
        <v>3</v>
      </c>
      <c r="L71" s="10" t="s">
        <v>24</v>
      </c>
      <c r="M71" s="11">
        <v>9.7052867901203399</v>
      </c>
      <c r="N71" s="10" t="s">
        <v>49</v>
      </c>
      <c r="O71" s="10" t="s">
        <v>42</v>
      </c>
      <c r="P71" s="10">
        <v>9</v>
      </c>
      <c r="Q71" s="10">
        <v>862</v>
      </c>
      <c r="R71" s="10">
        <v>7</v>
      </c>
      <c r="S71" s="11">
        <v>77.627765812748095</v>
      </c>
      <c r="T71" s="10" t="s">
        <v>27</v>
      </c>
      <c r="U71" s="10">
        <v>1.3623879886490999</v>
      </c>
      <c r="V71" s="10" t="s">
        <v>37</v>
      </c>
      <c r="W71" s="10" t="s">
        <v>45</v>
      </c>
      <c r="X71" s="11">
        <v>207.66320620857499</v>
      </c>
      <c r="Y71" s="11">
        <f>tbl_SupplyChaim[Shipping costs]+tbl_SupplyChaim[Manufacturing costs]+tbl_SupplyChaim[Costs]</f>
        <v>294.99625881144345</v>
      </c>
      <c r="Z71" s="11">
        <f>tbl_SupplyChaim[Revenue Generated]-tbl_SupplyChaim[Total_Cost]</f>
        <v>1457.3848286726766</v>
      </c>
      <c r="AA71" s="11">
        <f>IFERROR(tbl_SupplyChaim[[#This Row],[Revenue Generated]]-(tbl_SupplyChaim[[#This Row],[Total_Cost]]/tbl_SupplyChaim[Revenue Generated]),0)</f>
        <v>1752.2127472407115</v>
      </c>
      <c r="AB71" s="10">
        <f>tbl_SupplyChaim[Manufactuing Lead Time]+tbl_SupplyChaim[Shipping times]+tbl_SupplyChaim[Lead times]</f>
        <v>11</v>
      </c>
      <c r="AC71" s="11" t="str">
        <f>_xlfn.IFS(tbl_SupplyChaim[[#This Row],[Total Lead Time]]&gt;50,"HIGH RISK TIME",tbl_SupplyChaim[[#This Row],[Total Lead Time]]&gt;30,"MEDIUM","TRUE","OPTIMAL")</f>
        <v>OPTIMAL</v>
      </c>
      <c r="AD71" s="15">
        <v>0.02</v>
      </c>
    </row>
    <row r="72" spans="1:30" ht="15.75" x14ac:dyDescent="0.25">
      <c r="A72" s="10" t="s">
        <v>21</v>
      </c>
      <c r="B72" s="10" t="s">
        <v>121</v>
      </c>
      <c r="C72" s="10">
        <v>47.914541824058702</v>
      </c>
      <c r="D72" s="10">
        <v>90</v>
      </c>
      <c r="E72" s="10">
        <v>32</v>
      </c>
      <c r="F72" s="10">
        <v>7014.8879872033804</v>
      </c>
      <c r="G72" s="10" t="s">
        <v>32</v>
      </c>
      <c r="H72" s="10">
        <v>10</v>
      </c>
      <c r="I72" s="10">
        <v>12</v>
      </c>
      <c r="J72" s="10">
        <v>22</v>
      </c>
      <c r="K72" s="10">
        <v>4</v>
      </c>
      <c r="L72" s="10" t="s">
        <v>24</v>
      </c>
      <c r="M72" s="11">
        <v>6.3157177546007199</v>
      </c>
      <c r="N72" s="10" t="s">
        <v>36</v>
      </c>
      <c r="O72" s="10" t="s">
        <v>50</v>
      </c>
      <c r="P72" s="10">
        <v>22</v>
      </c>
      <c r="Q72" s="10">
        <v>775</v>
      </c>
      <c r="R72" s="10">
        <v>16</v>
      </c>
      <c r="S72" s="11">
        <v>11.440781823761199</v>
      </c>
      <c r="T72" s="10" t="s">
        <v>61</v>
      </c>
      <c r="U72" s="10">
        <v>1.8305755986122301</v>
      </c>
      <c r="V72" s="10" t="s">
        <v>28</v>
      </c>
      <c r="W72" s="10" t="s">
        <v>38</v>
      </c>
      <c r="X72" s="11">
        <v>183.27289874871099</v>
      </c>
      <c r="Y72" s="11">
        <f>tbl_SupplyChaim[Shipping costs]+tbl_SupplyChaim[Manufacturing costs]+tbl_SupplyChaim[Costs]</f>
        <v>201.0293983270729</v>
      </c>
      <c r="Z72" s="11">
        <f>tbl_SupplyChaim[Revenue Generated]-tbl_SupplyChaim[Total_Cost]</f>
        <v>6813.8585888763073</v>
      </c>
      <c r="AA72" s="11">
        <f>IFERROR(tbl_SupplyChaim[[#This Row],[Revenue Generated]]-(tbl_SupplyChaim[[#This Row],[Total_Cost]]/tbl_SupplyChaim[Revenue Generated]),0)</f>
        <v>7014.8593296683357</v>
      </c>
      <c r="AB72" s="10">
        <f>tbl_SupplyChaim[Manufactuing Lead Time]+tbl_SupplyChaim[Shipping times]+tbl_SupplyChaim[Lead times]</f>
        <v>32</v>
      </c>
      <c r="AC72" s="11" t="str">
        <f>_xlfn.IFS(tbl_SupplyChaim[[#This Row],[Total Lead Time]]&gt;50,"HIGH RISK TIME",tbl_SupplyChaim[[#This Row],[Total Lead Time]]&gt;30,"MEDIUM","TRUE","OPTIMAL")</f>
        <v>MEDIUM</v>
      </c>
      <c r="AD72" s="15">
        <v>0.02</v>
      </c>
    </row>
    <row r="73" spans="1:30" ht="15.75" x14ac:dyDescent="0.25">
      <c r="A73" s="10" t="s">
        <v>54</v>
      </c>
      <c r="B73" s="10" t="s">
        <v>122</v>
      </c>
      <c r="C73" s="10">
        <v>6.3815331627479601</v>
      </c>
      <c r="D73" s="10">
        <v>14</v>
      </c>
      <c r="E73" s="10">
        <v>637</v>
      </c>
      <c r="F73" s="10">
        <v>8180.3370854254399</v>
      </c>
      <c r="G73" s="10" t="s">
        <v>32</v>
      </c>
      <c r="H73" s="10">
        <v>76</v>
      </c>
      <c r="I73" s="10">
        <v>2</v>
      </c>
      <c r="J73" s="10">
        <v>26</v>
      </c>
      <c r="K73" s="10">
        <v>6</v>
      </c>
      <c r="L73" s="10" t="s">
        <v>33</v>
      </c>
      <c r="M73" s="11">
        <v>9.2281903170525101</v>
      </c>
      <c r="N73" s="10" t="s">
        <v>58</v>
      </c>
      <c r="O73" s="10" t="s">
        <v>50</v>
      </c>
      <c r="P73" s="10">
        <v>2</v>
      </c>
      <c r="Q73" s="10">
        <v>258</v>
      </c>
      <c r="R73" s="10">
        <v>10</v>
      </c>
      <c r="S73" s="11">
        <v>30.661677477859499</v>
      </c>
      <c r="T73" s="10" t="s">
        <v>27</v>
      </c>
      <c r="U73" s="10">
        <v>2.07875060787496</v>
      </c>
      <c r="V73" s="10" t="s">
        <v>28</v>
      </c>
      <c r="W73" s="10" t="s">
        <v>45</v>
      </c>
      <c r="X73" s="11">
        <v>405.167067888855</v>
      </c>
      <c r="Y73" s="11">
        <f>tbl_SupplyChaim[Shipping costs]+tbl_SupplyChaim[Manufacturing costs]+tbl_SupplyChaim[Costs]</f>
        <v>445.05693568376699</v>
      </c>
      <c r="Z73" s="11">
        <f>tbl_SupplyChaim[Revenue Generated]-tbl_SupplyChaim[Total_Cost]</f>
        <v>7735.2801497416731</v>
      </c>
      <c r="AA73" s="11">
        <f>IFERROR(tbl_SupplyChaim[[#This Row],[Revenue Generated]]-(tbl_SupplyChaim[[#This Row],[Total_Cost]]/tbl_SupplyChaim[Revenue Generated]),0)</f>
        <v>8180.2826797290691</v>
      </c>
      <c r="AB73" s="10">
        <f>tbl_SupplyChaim[Manufactuing Lead Time]+tbl_SupplyChaim[Shipping times]+tbl_SupplyChaim[Lead times]</f>
        <v>18</v>
      </c>
      <c r="AC73" s="11" t="str">
        <f>_xlfn.IFS(tbl_SupplyChaim[[#This Row],[Total Lead Time]]&gt;50,"HIGH RISK TIME",tbl_SupplyChaim[[#This Row],[Total Lead Time]]&gt;30,"MEDIUM","TRUE","OPTIMAL")</f>
        <v>OPTIMAL</v>
      </c>
      <c r="AD73" s="15">
        <v>0.02</v>
      </c>
    </row>
    <row r="74" spans="1:30" ht="15.75" x14ac:dyDescent="0.25">
      <c r="A74" s="10" t="s">
        <v>54</v>
      </c>
      <c r="B74" s="10" t="s">
        <v>123</v>
      </c>
      <c r="C74" s="10">
        <v>90.204427520528</v>
      </c>
      <c r="D74" s="10">
        <v>88</v>
      </c>
      <c r="E74" s="10">
        <v>478</v>
      </c>
      <c r="F74" s="10">
        <v>2633.1219813122498</v>
      </c>
      <c r="G74" s="10" t="s">
        <v>23</v>
      </c>
      <c r="H74" s="10">
        <v>57</v>
      </c>
      <c r="I74" s="10">
        <v>29</v>
      </c>
      <c r="J74" s="10">
        <v>77</v>
      </c>
      <c r="K74" s="10">
        <v>9</v>
      </c>
      <c r="L74" s="10" t="s">
        <v>33</v>
      </c>
      <c r="M74" s="11">
        <v>6.5996141596895397</v>
      </c>
      <c r="N74" s="10" t="s">
        <v>36</v>
      </c>
      <c r="O74" s="10" t="s">
        <v>50</v>
      </c>
      <c r="P74" s="10">
        <v>21</v>
      </c>
      <c r="Q74" s="10">
        <v>152</v>
      </c>
      <c r="R74" s="10">
        <v>11</v>
      </c>
      <c r="S74" s="11">
        <v>55.760492895244198</v>
      </c>
      <c r="T74" s="10" t="s">
        <v>27</v>
      </c>
      <c r="U74" s="10">
        <v>3.2133296074383</v>
      </c>
      <c r="V74" s="10" t="s">
        <v>44</v>
      </c>
      <c r="W74" s="10" t="s">
        <v>29</v>
      </c>
      <c r="X74" s="11">
        <v>677.94456984618296</v>
      </c>
      <c r="Y74" s="11">
        <f>tbl_SupplyChaim[Shipping costs]+tbl_SupplyChaim[Manufacturing costs]+tbl_SupplyChaim[Costs]</f>
        <v>740.30467690111664</v>
      </c>
      <c r="Z74" s="11">
        <f>tbl_SupplyChaim[Revenue Generated]-tbl_SupplyChaim[Total_Cost]</f>
        <v>1892.8173044111331</v>
      </c>
      <c r="AA74" s="11">
        <f>IFERROR(tbl_SupplyChaim[[#This Row],[Revenue Generated]]-(tbl_SupplyChaim[[#This Row],[Total_Cost]]/tbl_SupplyChaim[Revenue Generated]),0)</f>
        <v>2632.8408303886863</v>
      </c>
      <c r="AB74" s="10">
        <f>tbl_SupplyChaim[Manufactuing Lead Time]+tbl_SupplyChaim[Shipping times]+tbl_SupplyChaim[Lead times]</f>
        <v>49</v>
      </c>
      <c r="AC74" s="11" t="str">
        <f>_xlfn.IFS(tbl_SupplyChaim[[#This Row],[Total Lead Time]]&gt;50,"HIGH RISK TIME",tbl_SupplyChaim[[#This Row],[Total Lead Time]]&gt;30,"MEDIUM","TRUE","OPTIMAL")</f>
        <v>MEDIUM</v>
      </c>
      <c r="AD74" s="15">
        <v>0.02</v>
      </c>
    </row>
    <row r="75" spans="1:30" ht="15.75" x14ac:dyDescent="0.25">
      <c r="A75" s="10" t="s">
        <v>54</v>
      </c>
      <c r="B75" s="10" t="s">
        <v>124</v>
      </c>
      <c r="C75" s="10">
        <v>83.851017681304597</v>
      </c>
      <c r="D75" s="10">
        <v>41</v>
      </c>
      <c r="E75" s="10">
        <v>375</v>
      </c>
      <c r="F75" s="10">
        <v>7910.8869161406801</v>
      </c>
      <c r="G75" s="10" t="s">
        <v>52</v>
      </c>
      <c r="H75" s="10">
        <v>17</v>
      </c>
      <c r="I75" s="10">
        <v>25</v>
      </c>
      <c r="J75" s="10">
        <v>66</v>
      </c>
      <c r="K75" s="10">
        <v>5</v>
      </c>
      <c r="L75" s="10" t="s">
        <v>24</v>
      </c>
      <c r="M75" s="11">
        <v>1.5129368369160701</v>
      </c>
      <c r="N75" s="10" t="s">
        <v>49</v>
      </c>
      <c r="O75" s="10" t="s">
        <v>59</v>
      </c>
      <c r="P75" s="10">
        <v>13</v>
      </c>
      <c r="Q75" s="10">
        <v>444</v>
      </c>
      <c r="R75" s="10">
        <v>4</v>
      </c>
      <c r="S75" s="11">
        <v>46.870238797617098</v>
      </c>
      <c r="T75" s="10" t="s">
        <v>43</v>
      </c>
      <c r="U75" s="10">
        <v>4.6205460645137002</v>
      </c>
      <c r="V75" s="10" t="s">
        <v>28</v>
      </c>
      <c r="W75" s="10" t="s">
        <v>45</v>
      </c>
      <c r="X75" s="11">
        <v>866.472800129657</v>
      </c>
      <c r="Y75" s="11">
        <f>tbl_SupplyChaim[Shipping costs]+tbl_SupplyChaim[Manufacturing costs]+tbl_SupplyChaim[Costs]</f>
        <v>914.85597576419013</v>
      </c>
      <c r="Z75" s="11">
        <f>tbl_SupplyChaim[Revenue Generated]-tbl_SupplyChaim[Total_Cost]</f>
        <v>6996.0309403764895</v>
      </c>
      <c r="AA75" s="11">
        <f>IFERROR(tbl_SupplyChaim[[#This Row],[Revenue Generated]]-(tbl_SupplyChaim[[#This Row],[Total_Cost]]/tbl_SupplyChaim[Revenue Generated]),0)</f>
        <v>7910.771270956333</v>
      </c>
      <c r="AB75" s="10">
        <f>tbl_SupplyChaim[Manufactuing Lead Time]+tbl_SupplyChaim[Shipping times]+tbl_SupplyChaim[Lead times]</f>
        <v>34</v>
      </c>
      <c r="AC75" s="11" t="str">
        <f>_xlfn.IFS(tbl_SupplyChaim[[#This Row],[Total Lead Time]]&gt;50,"HIGH RISK TIME",tbl_SupplyChaim[[#This Row],[Total Lead Time]]&gt;30,"MEDIUM","TRUE","OPTIMAL")</f>
        <v>MEDIUM</v>
      </c>
      <c r="AD75" s="15">
        <v>0.02</v>
      </c>
    </row>
    <row r="76" spans="1:30" ht="15.75" x14ac:dyDescent="0.25">
      <c r="A76" s="10" t="s">
        <v>21</v>
      </c>
      <c r="B76" s="10" t="s">
        <v>125</v>
      </c>
      <c r="C76" s="10">
        <v>3.1700114135661499</v>
      </c>
      <c r="D76" s="10">
        <v>64</v>
      </c>
      <c r="E76" s="10">
        <v>904</v>
      </c>
      <c r="F76" s="10">
        <v>5709.9452959692799</v>
      </c>
      <c r="G76" s="10" t="s">
        <v>32</v>
      </c>
      <c r="H76" s="10">
        <v>41</v>
      </c>
      <c r="I76" s="10">
        <v>6</v>
      </c>
      <c r="J76" s="10">
        <v>1</v>
      </c>
      <c r="K76" s="10">
        <v>5</v>
      </c>
      <c r="L76" s="10" t="s">
        <v>33</v>
      </c>
      <c r="M76" s="11">
        <v>5.2376546500374399</v>
      </c>
      <c r="N76" s="10" t="s">
        <v>49</v>
      </c>
      <c r="O76" s="10" t="s">
        <v>47</v>
      </c>
      <c r="P76" s="10">
        <v>1</v>
      </c>
      <c r="Q76" s="10">
        <v>919</v>
      </c>
      <c r="R76" s="10">
        <v>9</v>
      </c>
      <c r="S76" s="11">
        <v>80.580852156447804</v>
      </c>
      <c r="T76" s="10" t="s">
        <v>43</v>
      </c>
      <c r="U76" s="10">
        <v>0.39661272410993498</v>
      </c>
      <c r="V76" s="10" t="s">
        <v>44</v>
      </c>
      <c r="W76" s="10" t="s">
        <v>45</v>
      </c>
      <c r="X76" s="11">
        <v>341.55265678322297</v>
      </c>
      <c r="Y76" s="11">
        <f>tbl_SupplyChaim[Shipping costs]+tbl_SupplyChaim[Manufacturing costs]+tbl_SupplyChaim[Costs]</f>
        <v>427.3711635897082</v>
      </c>
      <c r="Z76" s="11">
        <f>tbl_SupplyChaim[Revenue Generated]-tbl_SupplyChaim[Total_Cost]</f>
        <v>5282.5741323795719</v>
      </c>
      <c r="AA76" s="11">
        <f>IFERROR(tbl_SupplyChaim[[#This Row],[Revenue Generated]]-(tbl_SupplyChaim[[#This Row],[Total_Cost]]/tbl_SupplyChaim[Revenue Generated]),0)</f>
        <v>5709.8704491640237</v>
      </c>
      <c r="AB76" s="10">
        <f>tbl_SupplyChaim[Manufactuing Lead Time]+tbl_SupplyChaim[Shipping times]+tbl_SupplyChaim[Lead times]</f>
        <v>20</v>
      </c>
      <c r="AC76" s="11" t="str">
        <f>_xlfn.IFS(tbl_SupplyChaim[[#This Row],[Total Lead Time]]&gt;50,"HIGH RISK TIME",tbl_SupplyChaim[[#This Row],[Total Lead Time]]&gt;30,"MEDIUM","TRUE","OPTIMAL")</f>
        <v>OPTIMAL</v>
      </c>
      <c r="AD76" s="15">
        <v>0.02</v>
      </c>
    </row>
    <row r="77" spans="1:30" ht="15.75" x14ac:dyDescent="0.25">
      <c r="A77" s="10" t="s">
        <v>30</v>
      </c>
      <c r="B77" s="10" t="s">
        <v>126</v>
      </c>
      <c r="C77" s="10">
        <v>92.996884233970604</v>
      </c>
      <c r="D77" s="10">
        <v>29</v>
      </c>
      <c r="E77" s="10">
        <v>106</v>
      </c>
      <c r="F77" s="10">
        <v>1889.07358977933</v>
      </c>
      <c r="G77" s="10" t="s">
        <v>23</v>
      </c>
      <c r="H77" s="10">
        <v>16</v>
      </c>
      <c r="I77" s="10">
        <v>20</v>
      </c>
      <c r="J77" s="10">
        <v>56</v>
      </c>
      <c r="K77" s="10">
        <v>10</v>
      </c>
      <c r="L77" s="10" t="s">
        <v>40</v>
      </c>
      <c r="M77" s="11">
        <v>2.47389776104546</v>
      </c>
      <c r="N77" s="10" t="s">
        <v>36</v>
      </c>
      <c r="O77" s="10" t="s">
        <v>59</v>
      </c>
      <c r="P77" s="10">
        <v>25</v>
      </c>
      <c r="Q77" s="10">
        <v>759</v>
      </c>
      <c r="R77" s="10">
        <v>11</v>
      </c>
      <c r="S77" s="11">
        <v>48.064782640006499</v>
      </c>
      <c r="T77" s="10" t="s">
        <v>61</v>
      </c>
      <c r="U77" s="10">
        <v>2.0300690886687498</v>
      </c>
      <c r="V77" s="10" t="s">
        <v>37</v>
      </c>
      <c r="W77" s="10" t="s">
        <v>38</v>
      </c>
      <c r="X77" s="11">
        <v>873.12964801765099</v>
      </c>
      <c r="Y77" s="11">
        <f>tbl_SupplyChaim[Shipping costs]+tbl_SupplyChaim[Manufacturing costs]+tbl_SupplyChaim[Costs]</f>
        <v>923.66832841870291</v>
      </c>
      <c r="Z77" s="11">
        <f>tbl_SupplyChaim[Revenue Generated]-tbl_SupplyChaim[Total_Cost]</f>
        <v>965.40526136062704</v>
      </c>
      <c r="AA77" s="11">
        <f>IFERROR(tbl_SupplyChaim[[#This Row],[Revenue Generated]]-(tbl_SupplyChaim[[#This Row],[Total_Cost]]/tbl_SupplyChaim[Revenue Generated]),0)</f>
        <v>1888.5846367107908</v>
      </c>
      <c r="AB77" s="10">
        <f>tbl_SupplyChaim[Manufactuing Lead Time]+tbl_SupplyChaim[Shipping times]+tbl_SupplyChaim[Lead times]</f>
        <v>41</v>
      </c>
      <c r="AC77" s="11" t="str">
        <f>_xlfn.IFS(tbl_SupplyChaim[[#This Row],[Total Lead Time]]&gt;50,"HIGH RISK TIME",tbl_SupplyChaim[[#This Row],[Total Lead Time]]&gt;30,"MEDIUM","TRUE","OPTIMAL")</f>
        <v>MEDIUM</v>
      </c>
      <c r="AD77" s="15">
        <v>0.02</v>
      </c>
    </row>
    <row r="78" spans="1:30" ht="15.75" x14ac:dyDescent="0.25">
      <c r="A78" s="10" t="s">
        <v>21</v>
      </c>
      <c r="B78" s="10" t="s">
        <v>127</v>
      </c>
      <c r="C78" s="10">
        <v>69.108799547430294</v>
      </c>
      <c r="D78" s="10">
        <v>23</v>
      </c>
      <c r="E78" s="10">
        <v>241</v>
      </c>
      <c r="F78" s="10">
        <v>5328.3759842977497</v>
      </c>
      <c r="G78" s="10" t="s">
        <v>52</v>
      </c>
      <c r="H78" s="10">
        <v>38</v>
      </c>
      <c r="I78" s="10">
        <v>1</v>
      </c>
      <c r="J78" s="10">
        <v>22</v>
      </c>
      <c r="K78" s="10">
        <v>10</v>
      </c>
      <c r="L78" s="10" t="s">
        <v>33</v>
      </c>
      <c r="M78" s="11">
        <v>7.0545383368369201</v>
      </c>
      <c r="N78" s="10" t="s">
        <v>58</v>
      </c>
      <c r="O78" s="10" t="s">
        <v>50</v>
      </c>
      <c r="P78" s="10">
        <v>25</v>
      </c>
      <c r="Q78" s="10">
        <v>985</v>
      </c>
      <c r="R78" s="10">
        <v>24</v>
      </c>
      <c r="S78" s="11">
        <v>64.323597795600193</v>
      </c>
      <c r="T78" s="10" t="s">
        <v>27</v>
      </c>
      <c r="U78" s="10">
        <v>2.1800374515822099</v>
      </c>
      <c r="V78" s="10" t="s">
        <v>44</v>
      </c>
      <c r="W78" s="10" t="s">
        <v>45</v>
      </c>
      <c r="X78" s="11">
        <v>997.41345013319403</v>
      </c>
      <c r="Y78" s="11">
        <f>tbl_SupplyChaim[Shipping costs]+tbl_SupplyChaim[Manufacturing costs]+tbl_SupplyChaim[Costs]</f>
        <v>1068.7915862656312</v>
      </c>
      <c r="Z78" s="11">
        <f>tbl_SupplyChaim[Revenue Generated]-tbl_SupplyChaim[Total_Cost]</f>
        <v>4259.5843980321188</v>
      </c>
      <c r="AA78" s="11">
        <f>IFERROR(tbl_SupplyChaim[[#This Row],[Revenue Generated]]-(tbl_SupplyChaim[[#This Row],[Total_Cost]]/tbl_SupplyChaim[Revenue Generated]),0)</f>
        <v>5328.1753994311011</v>
      </c>
      <c r="AB78" s="10">
        <f>tbl_SupplyChaim[Manufactuing Lead Time]+tbl_SupplyChaim[Shipping times]+tbl_SupplyChaim[Lead times]</f>
        <v>35</v>
      </c>
      <c r="AC78" s="11" t="str">
        <f>_xlfn.IFS(tbl_SupplyChaim[[#This Row],[Total Lead Time]]&gt;50,"HIGH RISK TIME",tbl_SupplyChaim[[#This Row],[Total Lead Time]]&gt;30,"MEDIUM","TRUE","OPTIMAL")</f>
        <v>MEDIUM</v>
      </c>
      <c r="AD78" s="15">
        <v>0.02</v>
      </c>
    </row>
    <row r="79" spans="1:30" ht="15.75" x14ac:dyDescent="0.25">
      <c r="A79" s="10" t="s">
        <v>21</v>
      </c>
      <c r="B79" s="10" t="s">
        <v>128</v>
      </c>
      <c r="C79" s="10">
        <v>57.449742958971399</v>
      </c>
      <c r="D79" s="10">
        <v>14</v>
      </c>
      <c r="E79" s="10">
        <v>359</v>
      </c>
      <c r="F79" s="10">
        <v>2483.7601775427902</v>
      </c>
      <c r="G79" s="10" t="s">
        <v>35</v>
      </c>
      <c r="H79" s="10">
        <v>96</v>
      </c>
      <c r="I79" s="10">
        <v>28</v>
      </c>
      <c r="J79" s="10">
        <v>57</v>
      </c>
      <c r="K79" s="10">
        <v>4</v>
      </c>
      <c r="L79" s="10" t="s">
        <v>24</v>
      </c>
      <c r="M79" s="11">
        <v>6.7809466256178901</v>
      </c>
      <c r="N79" s="10" t="s">
        <v>36</v>
      </c>
      <c r="O79" s="10" t="s">
        <v>42</v>
      </c>
      <c r="P79" s="10">
        <v>26</v>
      </c>
      <c r="Q79" s="10">
        <v>334</v>
      </c>
      <c r="R79" s="10">
        <v>5</v>
      </c>
      <c r="S79" s="11">
        <v>42.952444748991802</v>
      </c>
      <c r="T79" s="10" t="s">
        <v>61</v>
      </c>
      <c r="U79" s="10">
        <v>3.0551418183075398</v>
      </c>
      <c r="V79" s="10" t="s">
        <v>28</v>
      </c>
      <c r="W79" s="10" t="s">
        <v>29</v>
      </c>
      <c r="X79" s="11">
        <v>852.56809891984994</v>
      </c>
      <c r="Y79" s="11">
        <f>tbl_SupplyChaim[Shipping costs]+tbl_SupplyChaim[Manufacturing costs]+tbl_SupplyChaim[Costs]</f>
        <v>902.30149029445965</v>
      </c>
      <c r="Z79" s="11">
        <f>tbl_SupplyChaim[Revenue Generated]-tbl_SupplyChaim[Total_Cost]</f>
        <v>1581.4586872483305</v>
      </c>
      <c r="AA79" s="11">
        <f>IFERROR(tbl_SupplyChaim[[#This Row],[Revenue Generated]]-(tbl_SupplyChaim[[#This Row],[Total_Cost]]/tbl_SupplyChaim[Revenue Generated]),0)</f>
        <v>2483.396897102733</v>
      </c>
      <c r="AB79" s="10">
        <f>tbl_SupplyChaim[Manufactuing Lead Time]+tbl_SupplyChaim[Shipping times]+tbl_SupplyChaim[Lead times]</f>
        <v>37</v>
      </c>
      <c r="AC79" s="11" t="str">
        <f>_xlfn.IFS(tbl_SupplyChaim[[#This Row],[Total Lead Time]]&gt;50,"HIGH RISK TIME",tbl_SupplyChaim[[#This Row],[Total Lead Time]]&gt;30,"MEDIUM","TRUE","OPTIMAL")</f>
        <v>MEDIUM</v>
      </c>
      <c r="AD79" s="15">
        <v>0.02</v>
      </c>
    </row>
    <row r="80" spans="1:30" ht="15.75" x14ac:dyDescent="0.25">
      <c r="A80" s="10" t="s">
        <v>21</v>
      </c>
      <c r="B80" s="10" t="s">
        <v>129</v>
      </c>
      <c r="C80" s="10">
        <v>6.30688317611191</v>
      </c>
      <c r="D80" s="10">
        <v>50</v>
      </c>
      <c r="E80" s="10">
        <v>946</v>
      </c>
      <c r="F80" s="10">
        <v>1292.45841793775</v>
      </c>
      <c r="G80" s="10" t="s">
        <v>35</v>
      </c>
      <c r="H80" s="10">
        <v>5</v>
      </c>
      <c r="I80" s="10">
        <v>4</v>
      </c>
      <c r="J80" s="10">
        <v>51</v>
      </c>
      <c r="K80" s="10">
        <v>5</v>
      </c>
      <c r="L80" s="10" t="s">
        <v>24</v>
      </c>
      <c r="M80" s="11">
        <v>8.4670497708619905</v>
      </c>
      <c r="N80" s="10" t="s">
        <v>41</v>
      </c>
      <c r="O80" s="10" t="s">
        <v>26</v>
      </c>
      <c r="P80" s="10">
        <v>25</v>
      </c>
      <c r="Q80" s="10">
        <v>858</v>
      </c>
      <c r="R80" s="10">
        <v>21</v>
      </c>
      <c r="S80" s="11">
        <v>71.126514720403307</v>
      </c>
      <c r="T80" s="10" t="s">
        <v>27</v>
      </c>
      <c r="U80" s="10">
        <v>4.0968813324704501</v>
      </c>
      <c r="V80" s="10" t="s">
        <v>53</v>
      </c>
      <c r="W80" s="10" t="s">
        <v>38</v>
      </c>
      <c r="X80" s="11">
        <v>323.59220343132199</v>
      </c>
      <c r="Y80" s="11">
        <f>tbl_SupplyChaim[Shipping costs]+tbl_SupplyChaim[Manufacturing costs]+tbl_SupplyChaim[Costs]</f>
        <v>403.18576792258727</v>
      </c>
      <c r="Z80" s="11">
        <f>tbl_SupplyChaim[Revenue Generated]-tbl_SupplyChaim[Total_Cost]</f>
        <v>889.27265001516275</v>
      </c>
      <c r="AA80" s="11">
        <f>IFERROR(tbl_SupplyChaim[[#This Row],[Revenue Generated]]-(tbl_SupplyChaim[[#This Row],[Total_Cost]]/tbl_SupplyChaim[Revenue Generated]),0)</f>
        <v>1292.1464653346127</v>
      </c>
      <c r="AB80" s="10">
        <f>tbl_SupplyChaim[Manufactuing Lead Time]+tbl_SupplyChaim[Shipping times]+tbl_SupplyChaim[Lead times]</f>
        <v>30</v>
      </c>
      <c r="AC80" s="11" t="str">
        <f>_xlfn.IFS(tbl_SupplyChaim[[#This Row],[Total Lead Time]]&gt;50,"HIGH RISK TIME",tbl_SupplyChaim[[#This Row],[Total Lead Time]]&gt;30,"MEDIUM","TRUE","OPTIMAL")</f>
        <v>OPTIMAL</v>
      </c>
      <c r="AD80" s="15">
        <v>0.02</v>
      </c>
    </row>
    <row r="81" spans="1:30" ht="15.75" x14ac:dyDescent="0.25">
      <c r="A81" s="10" t="s">
        <v>21</v>
      </c>
      <c r="B81" s="10" t="s">
        <v>130</v>
      </c>
      <c r="C81" s="10">
        <v>57.057031221103202</v>
      </c>
      <c r="D81" s="10">
        <v>56</v>
      </c>
      <c r="E81" s="10">
        <v>198</v>
      </c>
      <c r="F81" s="10">
        <v>7888.7232684270803</v>
      </c>
      <c r="G81" s="10" t="s">
        <v>23</v>
      </c>
      <c r="H81" s="10">
        <v>31</v>
      </c>
      <c r="I81" s="10">
        <v>25</v>
      </c>
      <c r="J81" s="10">
        <v>20</v>
      </c>
      <c r="K81" s="10">
        <v>1</v>
      </c>
      <c r="L81" s="10" t="s">
        <v>24</v>
      </c>
      <c r="M81" s="11">
        <v>6.49632536429504</v>
      </c>
      <c r="N81" s="10" t="s">
        <v>25</v>
      </c>
      <c r="O81" s="10" t="s">
        <v>50</v>
      </c>
      <c r="P81" s="10">
        <v>5</v>
      </c>
      <c r="Q81" s="10">
        <v>228</v>
      </c>
      <c r="R81" s="10">
        <v>12</v>
      </c>
      <c r="S81" s="11">
        <v>57.870902924036201</v>
      </c>
      <c r="T81" s="10" t="s">
        <v>27</v>
      </c>
      <c r="U81" s="10">
        <v>0.16587162748060799</v>
      </c>
      <c r="V81" s="10" t="s">
        <v>37</v>
      </c>
      <c r="W81" s="10" t="s">
        <v>38</v>
      </c>
      <c r="X81" s="11">
        <v>351.50421933503799</v>
      </c>
      <c r="Y81" s="11">
        <f>tbl_SupplyChaim[Shipping costs]+tbl_SupplyChaim[Manufacturing costs]+tbl_SupplyChaim[Costs]</f>
        <v>415.87144762336925</v>
      </c>
      <c r="Z81" s="11">
        <f>tbl_SupplyChaim[Revenue Generated]-tbl_SupplyChaim[Total_Cost]</f>
        <v>7472.8518208037112</v>
      </c>
      <c r="AA81" s="11">
        <f>IFERROR(tbl_SupplyChaim[[#This Row],[Revenue Generated]]-(tbl_SupplyChaim[[#This Row],[Total_Cost]]/tbl_SupplyChaim[Revenue Generated]),0)</f>
        <v>7888.670551221333</v>
      </c>
      <c r="AB81" s="10">
        <f>tbl_SupplyChaim[Manufactuing Lead Time]+tbl_SupplyChaim[Shipping times]+tbl_SupplyChaim[Lead times]</f>
        <v>38</v>
      </c>
      <c r="AC81" s="11" t="str">
        <f>_xlfn.IFS(tbl_SupplyChaim[[#This Row],[Total Lead Time]]&gt;50,"HIGH RISK TIME",tbl_SupplyChaim[[#This Row],[Total Lead Time]]&gt;30,"MEDIUM","TRUE","OPTIMAL")</f>
        <v>MEDIUM</v>
      </c>
      <c r="AD81" s="15">
        <v>0.02</v>
      </c>
    </row>
    <row r="82" spans="1:30" ht="15.75" x14ac:dyDescent="0.25">
      <c r="A82" s="10" t="s">
        <v>30</v>
      </c>
      <c r="B82" s="10" t="s">
        <v>131</v>
      </c>
      <c r="C82" s="10">
        <v>91.128318350444303</v>
      </c>
      <c r="D82" s="10">
        <v>75</v>
      </c>
      <c r="E82" s="10">
        <v>872</v>
      </c>
      <c r="F82" s="10">
        <v>8651.67268298206</v>
      </c>
      <c r="G82" s="10" t="s">
        <v>35</v>
      </c>
      <c r="H82" s="10">
        <v>39</v>
      </c>
      <c r="I82" s="10">
        <v>14</v>
      </c>
      <c r="J82" s="10">
        <v>41</v>
      </c>
      <c r="K82" s="10">
        <v>2</v>
      </c>
      <c r="L82" s="10" t="s">
        <v>40</v>
      </c>
      <c r="M82" s="11">
        <v>2.8331846794189701</v>
      </c>
      <c r="N82" s="10" t="s">
        <v>25</v>
      </c>
      <c r="O82" s="10" t="s">
        <v>59</v>
      </c>
      <c r="P82" s="10">
        <v>8</v>
      </c>
      <c r="Q82" s="10">
        <v>202</v>
      </c>
      <c r="R82" s="10">
        <v>5</v>
      </c>
      <c r="S82" s="11">
        <v>76.961228023819999</v>
      </c>
      <c r="T82" s="10" t="s">
        <v>43</v>
      </c>
      <c r="U82" s="10">
        <v>2.8496621985053299</v>
      </c>
      <c r="V82" s="10" t="s">
        <v>53</v>
      </c>
      <c r="W82" s="10" t="s">
        <v>29</v>
      </c>
      <c r="X82" s="11">
        <v>787.77985049434403</v>
      </c>
      <c r="Y82" s="11">
        <f>tbl_SupplyChaim[Shipping costs]+tbl_SupplyChaim[Manufacturing costs]+tbl_SupplyChaim[Costs]</f>
        <v>867.57426319758304</v>
      </c>
      <c r="Z82" s="11">
        <f>tbl_SupplyChaim[Revenue Generated]-tbl_SupplyChaim[Total_Cost]</f>
        <v>7784.0984197844773</v>
      </c>
      <c r="AA82" s="11">
        <f>IFERROR(tbl_SupplyChaim[[#This Row],[Revenue Generated]]-(tbl_SupplyChaim[[#This Row],[Total_Cost]]/tbl_SupplyChaim[Revenue Generated]),0)</f>
        <v>8651.5724047705517</v>
      </c>
      <c r="AB82" s="10">
        <f>tbl_SupplyChaim[Manufactuing Lead Time]+tbl_SupplyChaim[Shipping times]+tbl_SupplyChaim[Lead times]</f>
        <v>21</v>
      </c>
      <c r="AC82" s="11" t="str">
        <f>_xlfn.IFS(tbl_SupplyChaim[[#This Row],[Total Lead Time]]&gt;50,"HIGH RISK TIME",tbl_SupplyChaim[[#This Row],[Total Lead Time]]&gt;30,"MEDIUM","TRUE","OPTIMAL")</f>
        <v>OPTIMAL</v>
      </c>
      <c r="AD82" s="15">
        <v>0.02</v>
      </c>
    </row>
    <row r="83" spans="1:30" ht="15.75" x14ac:dyDescent="0.25">
      <c r="A83" s="10" t="s">
        <v>21</v>
      </c>
      <c r="B83" s="10" t="s">
        <v>132</v>
      </c>
      <c r="C83" s="10">
        <v>72.819206930318202</v>
      </c>
      <c r="D83" s="10">
        <v>9</v>
      </c>
      <c r="E83" s="10">
        <v>774</v>
      </c>
      <c r="F83" s="10">
        <v>4384.4134000458598</v>
      </c>
      <c r="G83" s="10" t="s">
        <v>35</v>
      </c>
      <c r="H83" s="10">
        <v>48</v>
      </c>
      <c r="I83" s="10">
        <v>6</v>
      </c>
      <c r="J83" s="10">
        <v>8</v>
      </c>
      <c r="K83" s="10">
        <v>5</v>
      </c>
      <c r="L83" s="10" t="s">
        <v>24</v>
      </c>
      <c r="M83" s="11">
        <v>4.0662775015120403</v>
      </c>
      <c r="N83" s="10" t="s">
        <v>25</v>
      </c>
      <c r="O83" s="10" t="s">
        <v>47</v>
      </c>
      <c r="P83" s="10">
        <v>28</v>
      </c>
      <c r="Q83" s="10">
        <v>698</v>
      </c>
      <c r="R83" s="10">
        <v>1</v>
      </c>
      <c r="S83" s="11">
        <v>19.789592941903599</v>
      </c>
      <c r="T83" s="10" t="s">
        <v>27</v>
      </c>
      <c r="U83" s="10">
        <v>2.54754712154871</v>
      </c>
      <c r="V83" s="10" t="s">
        <v>44</v>
      </c>
      <c r="W83" s="10" t="s">
        <v>29</v>
      </c>
      <c r="X83" s="11">
        <v>276.77833594679799</v>
      </c>
      <c r="Y83" s="11">
        <f>tbl_SupplyChaim[Shipping costs]+tbl_SupplyChaim[Manufacturing costs]+tbl_SupplyChaim[Costs]</f>
        <v>300.63420639021365</v>
      </c>
      <c r="Z83" s="11">
        <f>tbl_SupplyChaim[Revenue Generated]-tbl_SupplyChaim[Total_Cost]</f>
        <v>4083.7791936556459</v>
      </c>
      <c r="AA83" s="11">
        <f>IFERROR(tbl_SupplyChaim[[#This Row],[Revenue Generated]]-(tbl_SupplyChaim[[#This Row],[Total_Cost]]/tbl_SupplyChaim[Revenue Generated]),0)</f>
        <v>4384.3448311909278</v>
      </c>
      <c r="AB83" s="10">
        <f>tbl_SupplyChaim[Manufactuing Lead Time]+tbl_SupplyChaim[Shipping times]+tbl_SupplyChaim[Lead times]</f>
        <v>12</v>
      </c>
      <c r="AC83" s="11" t="str">
        <f>_xlfn.IFS(tbl_SupplyChaim[[#This Row],[Total Lead Time]]&gt;50,"HIGH RISK TIME",tbl_SupplyChaim[[#This Row],[Total Lead Time]]&gt;30,"MEDIUM","TRUE","OPTIMAL")</f>
        <v>OPTIMAL</v>
      </c>
      <c r="AD83" s="15">
        <v>0.02</v>
      </c>
    </row>
    <row r="84" spans="1:30" ht="15.75" x14ac:dyDescent="0.25">
      <c r="A84" s="10" t="s">
        <v>30</v>
      </c>
      <c r="B84" s="10" t="s">
        <v>133</v>
      </c>
      <c r="C84" s="10">
        <v>17.034930739467899</v>
      </c>
      <c r="D84" s="10">
        <v>13</v>
      </c>
      <c r="E84" s="10">
        <v>336</v>
      </c>
      <c r="F84" s="10">
        <v>2943.3818676094502</v>
      </c>
      <c r="G84" s="10" t="s">
        <v>35</v>
      </c>
      <c r="H84" s="10">
        <v>42</v>
      </c>
      <c r="I84" s="10">
        <v>19</v>
      </c>
      <c r="J84" s="10">
        <v>72</v>
      </c>
      <c r="K84" s="10">
        <v>1</v>
      </c>
      <c r="L84" s="10" t="s">
        <v>33</v>
      </c>
      <c r="M84" s="11">
        <v>4.7081818735419301</v>
      </c>
      <c r="N84" s="10" t="s">
        <v>58</v>
      </c>
      <c r="O84" s="10" t="s">
        <v>26</v>
      </c>
      <c r="P84" s="10">
        <v>6</v>
      </c>
      <c r="Q84" s="10">
        <v>955</v>
      </c>
      <c r="R84" s="10">
        <v>26</v>
      </c>
      <c r="S84" s="11">
        <v>4.4652784349432402</v>
      </c>
      <c r="T84" s="10" t="s">
        <v>27</v>
      </c>
      <c r="U84" s="10">
        <v>4.1378770486223502</v>
      </c>
      <c r="V84" s="10" t="s">
        <v>28</v>
      </c>
      <c r="W84" s="10" t="s">
        <v>38</v>
      </c>
      <c r="X84" s="11">
        <v>589.97855562804</v>
      </c>
      <c r="Y84" s="11">
        <f>tbl_SupplyChaim[Shipping costs]+tbl_SupplyChaim[Manufacturing costs]+tbl_SupplyChaim[Costs]</f>
        <v>599.15201593652512</v>
      </c>
      <c r="Z84" s="11">
        <f>tbl_SupplyChaim[Revenue Generated]-tbl_SupplyChaim[Total_Cost]</f>
        <v>2344.2298516729252</v>
      </c>
      <c r="AA84" s="11">
        <f>IFERROR(tbl_SupplyChaim[[#This Row],[Revenue Generated]]-(tbl_SupplyChaim[[#This Row],[Total_Cost]]/tbl_SupplyChaim[Revenue Generated]),0)</f>
        <v>2943.1783085597294</v>
      </c>
      <c r="AB84" s="10">
        <f>tbl_SupplyChaim[Manufactuing Lead Time]+tbl_SupplyChaim[Shipping times]+tbl_SupplyChaim[Lead times]</f>
        <v>46</v>
      </c>
      <c r="AC84" s="11" t="str">
        <f>_xlfn.IFS(tbl_SupplyChaim[[#This Row],[Total Lead Time]]&gt;50,"HIGH RISK TIME",tbl_SupplyChaim[[#This Row],[Total Lead Time]]&gt;30,"MEDIUM","TRUE","OPTIMAL")</f>
        <v>MEDIUM</v>
      </c>
      <c r="AD84" s="15">
        <v>0.02</v>
      </c>
    </row>
    <row r="85" spans="1:30" ht="15.75" x14ac:dyDescent="0.25">
      <c r="A85" s="10" t="s">
        <v>21</v>
      </c>
      <c r="B85" s="10" t="s">
        <v>134</v>
      </c>
      <c r="C85" s="10">
        <v>68.911246211606297</v>
      </c>
      <c r="D85" s="10">
        <v>82</v>
      </c>
      <c r="E85" s="10">
        <v>663</v>
      </c>
      <c r="F85" s="10">
        <v>2411.7546321104901</v>
      </c>
      <c r="G85" s="10" t="s">
        <v>35</v>
      </c>
      <c r="H85" s="10">
        <v>65</v>
      </c>
      <c r="I85" s="10">
        <v>24</v>
      </c>
      <c r="J85" s="10">
        <v>7</v>
      </c>
      <c r="K85" s="10">
        <v>8</v>
      </c>
      <c r="L85" s="10" t="s">
        <v>24</v>
      </c>
      <c r="M85" s="11">
        <v>4.94983957799694</v>
      </c>
      <c r="N85" s="10" t="s">
        <v>36</v>
      </c>
      <c r="O85" s="10" t="s">
        <v>50</v>
      </c>
      <c r="P85" s="10">
        <v>20</v>
      </c>
      <c r="Q85" s="10">
        <v>443</v>
      </c>
      <c r="R85" s="10">
        <v>5</v>
      </c>
      <c r="S85" s="11">
        <v>97.730593800533001</v>
      </c>
      <c r="T85" s="10" t="s">
        <v>43</v>
      </c>
      <c r="U85" s="10">
        <v>0.77300613406724705</v>
      </c>
      <c r="V85" s="10" t="s">
        <v>28</v>
      </c>
      <c r="W85" s="10" t="s">
        <v>45</v>
      </c>
      <c r="X85" s="11">
        <v>682.97101822609295</v>
      </c>
      <c r="Y85" s="11">
        <f>tbl_SupplyChaim[Shipping costs]+tbl_SupplyChaim[Manufacturing costs]+tbl_SupplyChaim[Costs]</f>
        <v>785.65145160462293</v>
      </c>
      <c r="Z85" s="11">
        <f>tbl_SupplyChaim[Revenue Generated]-tbl_SupplyChaim[Total_Cost]</f>
        <v>1626.1031805058672</v>
      </c>
      <c r="AA85" s="11">
        <f>IFERROR(tbl_SupplyChaim[[#This Row],[Revenue Generated]]-(tbl_SupplyChaim[[#This Row],[Total_Cost]]/tbl_SupplyChaim[Revenue Generated]),0)</f>
        <v>2411.4288728308584</v>
      </c>
      <c r="AB85" s="10">
        <f>tbl_SupplyChaim[Manufactuing Lead Time]+tbl_SupplyChaim[Shipping times]+tbl_SupplyChaim[Lead times]</f>
        <v>37</v>
      </c>
      <c r="AC85" s="11" t="str">
        <f>_xlfn.IFS(tbl_SupplyChaim[[#This Row],[Total Lead Time]]&gt;50,"HIGH RISK TIME",tbl_SupplyChaim[[#This Row],[Total Lead Time]]&gt;30,"MEDIUM","TRUE","OPTIMAL")</f>
        <v>MEDIUM</v>
      </c>
      <c r="AD85" s="15">
        <v>0.02</v>
      </c>
    </row>
    <row r="86" spans="1:30" ht="15.75" x14ac:dyDescent="0.25">
      <c r="A86" s="10" t="s">
        <v>21</v>
      </c>
      <c r="B86" s="10" t="s">
        <v>135</v>
      </c>
      <c r="C86" s="10">
        <v>89.104367292102197</v>
      </c>
      <c r="D86" s="10">
        <v>99</v>
      </c>
      <c r="E86" s="10">
        <v>618</v>
      </c>
      <c r="F86" s="10">
        <v>2048.2900998487098</v>
      </c>
      <c r="G86" s="10" t="s">
        <v>35</v>
      </c>
      <c r="H86" s="10">
        <v>73</v>
      </c>
      <c r="I86" s="10">
        <v>26</v>
      </c>
      <c r="J86" s="10">
        <v>80</v>
      </c>
      <c r="K86" s="10">
        <v>10</v>
      </c>
      <c r="L86" s="10" t="s">
        <v>33</v>
      </c>
      <c r="M86" s="11">
        <v>8.3816156249226292</v>
      </c>
      <c r="N86" s="10" t="s">
        <v>41</v>
      </c>
      <c r="O86" s="10" t="s">
        <v>59</v>
      </c>
      <c r="P86" s="10">
        <v>24</v>
      </c>
      <c r="Q86" s="10">
        <v>589</v>
      </c>
      <c r="R86" s="10">
        <v>22</v>
      </c>
      <c r="S86" s="11">
        <v>33.808636513209002</v>
      </c>
      <c r="T86" s="10" t="s">
        <v>61</v>
      </c>
      <c r="U86" s="10">
        <v>4.8434565771180402</v>
      </c>
      <c r="V86" s="10" t="s">
        <v>37</v>
      </c>
      <c r="W86" s="10" t="s">
        <v>29</v>
      </c>
      <c r="X86" s="11">
        <v>465.45700596368698</v>
      </c>
      <c r="Y86" s="11">
        <f>tbl_SupplyChaim[Shipping costs]+tbl_SupplyChaim[Manufacturing costs]+tbl_SupplyChaim[Costs]</f>
        <v>507.64725810181864</v>
      </c>
      <c r="Z86" s="11">
        <f>tbl_SupplyChaim[Revenue Generated]-tbl_SupplyChaim[Total_Cost]</f>
        <v>1540.6428417468912</v>
      </c>
      <c r="AA86" s="11">
        <f>IFERROR(tbl_SupplyChaim[[#This Row],[Revenue Generated]]-(tbl_SupplyChaim[[#This Row],[Total_Cost]]/tbl_SupplyChaim[Revenue Generated]),0)</f>
        <v>2048.042260317513</v>
      </c>
      <c r="AB86" s="10">
        <f>tbl_SupplyChaim[Manufactuing Lead Time]+tbl_SupplyChaim[Shipping times]+tbl_SupplyChaim[Lead times]</f>
        <v>58</v>
      </c>
      <c r="AC86" s="11" t="str">
        <f>_xlfn.IFS(tbl_SupplyChaim[[#This Row],[Total Lead Time]]&gt;50,"HIGH RISK TIME",tbl_SupplyChaim[[#This Row],[Total Lead Time]]&gt;30,"MEDIUM","TRUE","OPTIMAL")</f>
        <v>HIGH RISK TIME</v>
      </c>
      <c r="AD86" s="15">
        <v>0.02</v>
      </c>
    </row>
    <row r="87" spans="1:30" ht="15.75" x14ac:dyDescent="0.25">
      <c r="A87" s="10" t="s">
        <v>54</v>
      </c>
      <c r="B87" s="10" t="s">
        <v>136</v>
      </c>
      <c r="C87" s="10">
        <v>76.962994415193805</v>
      </c>
      <c r="D87" s="10">
        <v>83</v>
      </c>
      <c r="E87" s="10">
        <v>25</v>
      </c>
      <c r="F87" s="10">
        <v>8684.6130592538502</v>
      </c>
      <c r="G87" s="10" t="s">
        <v>32</v>
      </c>
      <c r="H87" s="10">
        <v>15</v>
      </c>
      <c r="I87" s="10">
        <v>18</v>
      </c>
      <c r="J87" s="10">
        <v>66</v>
      </c>
      <c r="K87" s="10">
        <v>2</v>
      </c>
      <c r="L87" s="10" t="s">
        <v>40</v>
      </c>
      <c r="M87" s="11">
        <v>8.2491687048717193</v>
      </c>
      <c r="N87" s="10" t="s">
        <v>41</v>
      </c>
      <c r="O87" s="10" t="s">
        <v>59</v>
      </c>
      <c r="P87" s="10">
        <v>4</v>
      </c>
      <c r="Q87" s="10">
        <v>211</v>
      </c>
      <c r="R87" s="10">
        <v>2</v>
      </c>
      <c r="S87" s="11">
        <v>69.929345518672307</v>
      </c>
      <c r="T87" s="10" t="s">
        <v>43</v>
      </c>
      <c r="U87" s="10">
        <v>1.3744289997457499</v>
      </c>
      <c r="V87" s="10" t="s">
        <v>28</v>
      </c>
      <c r="W87" s="10" t="s">
        <v>29</v>
      </c>
      <c r="X87" s="11">
        <v>842.68683000464102</v>
      </c>
      <c r="Y87" s="11">
        <f>tbl_SupplyChaim[Shipping costs]+tbl_SupplyChaim[Manufacturing costs]+tbl_SupplyChaim[Costs]</f>
        <v>920.86534422818499</v>
      </c>
      <c r="Z87" s="11">
        <f>tbl_SupplyChaim[Revenue Generated]-tbl_SupplyChaim[Total_Cost]</f>
        <v>7763.7477150256655</v>
      </c>
      <c r="AA87" s="11">
        <f>IFERROR(tbl_SupplyChaim[[#This Row],[Revenue Generated]]-(tbl_SupplyChaim[[#This Row],[Total_Cost]]/tbl_SupplyChaim[Revenue Generated]),0)</f>
        <v>8684.5070251291345</v>
      </c>
      <c r="AB87" s="10">
        <f>tbl_SupplyChaim[Manufactuing Lead Time]+tbl_SupplyChaim[Shipping times]+tbl_SupplyChaim[Lead times]</f>
        <v>22</v>
      </c>
      <c r="AC87" s="11" t="str">
        <f>_xlfn.IFS(tbl_SupplyChaim[[#This Row],[Total Lead Time]]&gt;50,"HIGH RISK TIME",tbl_SupplyChaim[[#This Row],[Total Lead Time]]&gt;30,"MEDIUM","TRUE","OPTIMAL")</f>
        <v>OPTIMAL</v>
      </c>
      <c r="AD87" s="15">
        <v>0.02</v>
      </c>
    </row>
    <row r="88" spans="1:30" ht="15.75" x14ac:dyDescent="0.25">
      <c r="A88" s="10" t="s">
        <v>30</v>
      </c>
      <c r="B88" s="10" t="s">
        <v>137</v>
      </c>
      <c r="C88" s="10">
        <v>19.9981769404042</v>
      </c>
      <c r="D88" s="10">
        <v>18</v>
      </c>
      <c r="E88" s="10">
        <v>223</v>
      </c>
      <c r="F88" s="10">
        <v>1229.59102856498</v>
      </c>
      <c r="G88" s="10" t="s">
        <v>35</v>
      </c>
      <c r="H88" s="10">
        <v>32</v>
      </c>
      <c r="I88" s="10">
        <v>14</v>
      </c>
      <c r="J88" s="10">
        <v>22</v>
      </c>
      <c r="K88" s="10">
        <v>6</v>
      </c>
      <c r="L88" s="10" t="s">
        <v>24</v>
      </c>
      <c r="M88" s="11">
        <v>1.4543053101535499</v>
      </c>
      <c r="N88" s="10" t="s">
        <v>36</v>
      </c>
      <c r="O88" s="10" t="s">
        <v>26</v>
      </c>
      <c r="P88" s="10">
        <v>4</v>
      </c>
      <c r="Q88" s="10">
        <v>569</v>
      </c>
      <c r="R88" s="10">
        <v>18</v>
      </c>
      <c r="S88" s="11">
        <v>74.608969995194599</v>
      </c>
      <c r="T88" s="10" t="s">
        <v>61</v>
      </c>
      <c r="U88" s="10">
        <v>2.0515129307662399</v>
      </c>
      <c r="V88" s="10" t="s">
        <v>44</v>
      </c>
      <c r="W88" s="10" t="s">
        <v>45</v>
      </c>
      <c r="X88" s="11">
        <v>264.25488983586598</v>
      </c>
      <c r="Y88" s="11">
        <f>tbl_SupplyChaim[Shipping costs]+tbl_SupplyChaim[Manufacturing costs]+tbl_SupplyChaim[Costs]</f>
        <v>340.31816514121414</v>
      </c>
      <c r="Z88" s="11">
        <f>tbl_SupplyChaim[Revenue Generated]-tbl_SupplyChaim[Total_Cost]</f>
        <v>889.27286342376578</v>
      </c>
      <c r="AA88" s="11">
        <f>IFERROR(tbl_SupplyChaim[[#This Row],[Revenue Generated]]-(tbl_SupplyChaim[[#This Row],[Total_Cost]]/tbl_SupplyChaim[Revenue Generated]),0)</f>
        <v>1229.3142551035321</v>
      </c>
      <c r="AB88" s="10">
        <f>tbl_SupplyChaim[Manufactuing Lead Time]+tbl_SupplyChaim[Shipping times]+tbl_SupplyChaim[Lead times]</f>
        <v>38</v>
      </c>
      <c r="AC88" s="11" t="str">
        <f>_xlfn.IFS(tbl_SupplyChaim[[#This Row],[Total Lead Time]]&gt;50,"HIGH RISK TIME",tbl_SupplyChaim[[#This Row],[Total Lead Time]]&gt;30,"MEDIUM","TRUE","OPTIMAL")</f>
        <v>MEDIUM</v>
      </c>
      <c r="AD88" s="15">
        <v>0.02</v>
      </c>
    </row>
    <row r="89" spans="1:30" ht="15.75" x14ac:dyDescent="0.25">
      <c r="A89" s="10" t="s">
        <v>21</v>
      </c>
      <c r="B89" s="10" t="s">
        <v>138</v>
      </c>
      <c r="C89" s="10">
        <v>80.414036650355698</v>
      </c>
      <c r="D89" s="10">
        <v>24</v>
      </c>
      <c r="E89" s="10">
        <v>79</v>
      </c>
      <c r="F89" s="10">
        <v>5133.8467010866898</v>
      </c>
      <c r="G89" s="10" t="s">
        <v>52</v>
      </c>
      <c r="H89" s="10">
        <v>5</v>
      </c>
      <c r="I89" s="10">
        <v>7</v>
      </c>
      <c r="J89" s="10">
        <v>55</v>
      </c>
      <c r="K89" s="10">
        <v>10</v>
      </c>
      <c r="L89" s="10" t="s">
        <v>33</v>
      </c>
      <c r="M89" s="11">
        <v>6.5758037975485299</v>
      </c>
      <c r="N89" s="10" t="s">
        <v>25</v>
      </c>
      <c r="O89" s="10" t="s">
        <v>59</v>
      </c>
      <c r="P89" s="10">
        <v>27</v>
      </c>
      <c r="Q89" s="10">
        <v>523</v>
      </c>
      <c r="R89" s="10">
        <v>17</v>
      </c>
      <c r="S89" s="11">
        <v>28.696996824143099</v>
      </c>
      <c r="T89" s="10" t="s">
        <v>43</v>
      </c>
      <c r="U89" s="10">
        <v>3.6937377878392699</v>
      </c>
      <c r="V89" s="10" t="s">
        <v>53</v>
      </c>
      <c r="W89" s="10" t="s">
        <v>29</v>
      </c>
      <c r="X89" s="11">
        <v>879.35921773492396</v>
      </c>
      <c r="Y89" s="11">
        <f>tbl_SupplyChaim[Shipping costs]+tbl_SupplyChaim[Manufacturing costs]+tbl_SupplyChaim[Costs]</f>
        <v>914.63201835661562</v>
      </c>
      <c r="Z89" s="11">
        <f>tbl_SupplyChaim[Revenue Generated]-tbl_SupplyChaim[Total_Cost]</f>
        <v>4219.2146827300739</v>
      </c>
      <c r="AA89" s="11">
        <f>IFERROR(tbl_SupplyChaim[[#This Row],[Revenue Generated]]-(tbl_SupplyChaim[[#This Row],[Total_Cost]]/tbl_SupplyChaim[Revenue Generated]),0)</f>
        <v>5133.6685438350987</v>
      </c>
      <c r="AB89" s="10">
        <f>tbl_SupplyChaim[Manufactuing Lead Time]+tbl_SupplyChaim[Shipping times]+tbl_SupplyChaim[Lead times]</f>
        <v>34</v>
      </c>
      <c r="AC89" s="11" t="str">
        <f>_xlfn.IFS(tbl_SupplyChaim[[#This Row],[Total Lead Time]]&gt;50,"HIGH RISK TIME",tbl_SupplyChaim[[#This Row],[Total Lead Time]]&gt;30,"MEDIUM","TRUE","OPTIMAL")</f>
        <v>MEDIUM</v>
      </c>
      <c r="AD89" s="15">
        <v>0.02</v>
      </c>
    </row>
    <row r="90" spans="1:30" ht="15.75" x14ac:dyDescent="0.25">
      <c r="A90" s="10" t="s">
        <v>54</v>
      </c>
      <c r="B90" s="10" t="s">
        <v>139</v>
      </c>
      <c r="C90" s="10">
        <v>75.270406975724995</v>
      </c>
      <c r="D90" s="10">
        <v>58</v>
      </c>
      <c r="E90" s="10">
        <v>737</v>
      </c>
      <c r="F90" s="10">
        <v>9444.7420330629793</v>
      </c>
      <c r="G90" s="10" t="s">
        <v>52</v>
      </c>
      <c r="H90" s="10">
        <v>60</v>
      </c>
      <c r="I90" s="10">
        <v>18</v>
      </c>
      <c r="J90" s="10">
        <v>85</v>
      </c>
      <c r="K90" s="10">
        <v>7</v>
      </c>
      <c r="L90" s="10" t="s">
        <v>33</v>
      </c>
      <c r="M90" s="11">
        <v>3.8012531329310701</v>
      </c>
      <c r="N90" s="10" t="s">
        <v>58</v>
      </c>
      <c r="O90" s="10" t="s">
        <v>26</v>
      </c>
      <c r="P90" s="10">
        <v>21</v>
      </c>
      <c r="Q90" s="10">
        <v>953</v>
      </c>
      <c r="R90" s="10">
        <v>11</v>
      </c>
      <c r="S90" s="11">
        <v>68.1849190570411</v>
      </c>
      <c r="T90" s="10" t="s">
        <v>27</v>
      </c>
      <c r="U90" s="10">
        <v>0.722204401882931</v>
      </c>
      <c r="V90" s="10" t="s">
        <v>53</v>
      </c>
      <c r="W90" s="10" t="s">
        <v>45</v>
      </c>
      <c r="X90" s="11">
        <v>103.916247960704</v>
      </c>
      <c r="Y90" s="11">
        <f>tbl_SupplyChaim[Shipping costs]+tbl_SupplyChaim[Manufacturing costs]+tbl_SupplyChaim[Costs]</f>
        <v>175.90242015067616</v>
      </c>
      <c r="Z90" s="11">
        <f>tbl_SupplyChaim[Revenue Generated]-tbl_SupplyChaim[Total_Cost]</f>
        <v>9268.839612912303</v>
      </c>
      <c r="AA90" s="11">
        <f>IFERROR(tbl_SupplyChaim[[#This Row],[Revenue Generated]]-(tbl_SupplyChaim[[#This Row],[Total_Cost]]/tbl_SupplyChaim[Revenue Generated]),0)</f>
        <v>9444.7234086876888</v>
      </c>
      <c r="AB90" s="10">
        <f>tbl_SupplyChaim[Manufactuing Lead Time]+tbl_SupplyChaim[Shipping times]+tbl_SupplyChaim[Lead times]</f>
        <v>36</v>
      </c>
      <c r="AC90" s="11" t="str">
        <f>_xlfn.IFS(tbl_SupplyChaim[[#This Row],[Total Lead Time]]&gt;50,"HIGH RISK TIME",tbl_SupplyChaim[[#This Row],[Total Lead Time]]&gt;30,"MEDIUM","TRUE","OPTIMAL")</f>
        <v>MEDIUM</v>
      </c>
      <c r="AD90" s="15">
        <v>0.02</v>
      </c>
    </row>
    <row r="91" spans="1:30" ht="15.75" x14ac:dyDescent="0.25">
      <c r="A91" s="10" t="s">
        <v>54</v>
      </c>
      <c r="B91" s="10" t="s">
        <v>140</v>
      </c>
      <c r="C91" s="10">
        <v>97.760085581938597</v>
      </c>
      <c r="D91" s="10">
        <v>10</v>
      </c>
      <c r="E91" s="10">
        <v>134</v>
      </c>
      <c r="F91" s="10">
        <v>5924.6825668532301</v>
      </c>
      <c r="G91" s="10" t="s">
        <v>35</v>
      </c>
      <c r="H91" s="10">
        <v>90</v>
      </c>
      <c r="I91" s="10">
        <v>1</v>
      </c>
      <c r="J91" s="10">
        <v>27</v>
      </c>
      <c r="K91" s="10">
        <v>8</v>
      </c>
      <c r="L91" s="10" t="s">
        <v>24</v>
      </c>
      <c r="M91" s="11">
        <v>9.9298162452772498</v>
      </c>
      <c r="N91" s="10" t="s">
        <v>36</v>
      </c>
      <c r="O91" s="10" t="s">
        <v>42</v>
      </c>
      <c r="P91" s="10">
        <v>23</v>
      </c>
      <c r="Q91" s="10">
        <v>370</v>
      </c>
      <c r="R91" s="10">
        <v>11</v>
      </c>
      <c r="S91" s="11">
        <v>46.603873381644398</v>
      </c>
      <c r="T91" s="10" t="s">
        <v>27</v>
      </c>
      <c r="U91" s="10">
        <v>1.9076657339590699</v>
      </c>
      <c r="V91" s="10" t="s">
        <v>44</v>
      </c>
      <c r="W91" s="10" t="s">
        <v>29</v>
      </c>
      <c r="X91" s="11">
        <v>517.49997392906005</v>
      </c>
      <c r="Y91" s="11">
        <f>tbl_SupplyChaim[Shipping costs]+tbl_SupplyChaim[Manufacturing costs]+tbl_SupplyChaim[Costs]</f>
        <v>574.03366355598166</v>
      </c>
      <c r="Z91" s="11">
        <f>tbl_SupplyChaim[Revenue Generated]-tbl_SupplyChaim[Total_Cost]</f>
        <v>5350.6489032972486</v>
      </c>
      <c r="AA91" s="11">
        <f>IFERROR(tbl_SupplyChaim[[#This Row],[Revenue Generated]]-(tbl_SupplyChaim[[#This Row],[Total_Cost]]/tbl_SupplyChaim[Revenue Generated]),0)</f>
        <v>5924.5856783436639</v>
      </c>
      <c r="AB91" s="10">
        <f>tbl_SupplyChaim[Manufactuing Lead Time]+tbl_SupplyChaim[Shipping times]+tbl_SupplyChaim[Lead times]</f>
        <v>20</v>
      </c>
      <c r="AC91" s="11" t="str">
        <f>_xlfn.IFS(tbl_SupplyChaim[[#This Row],[Total Lead Time]]&gt;50,"HIGH RISK TIME",tbl_SupplyChaim[[#This Row],[Total Lead Time]]&gt;30,"MEDIUM","TRUE","OPTIMAL")</f>
        <v>OPTIMAL</v>
      </c>
      <c r="AD91" s="15">
        <v>0.02</v>
      </c>
    </row>
    <row r="92" spans="1:30" ht="15.75" x14ac:dyDescent="0.25">
      <c r="A92" s="10" t="s">
        <v>30</v>
      </c>
      <c r="B92" s="10" t="s">
        <v>141</v>
      </c>
      <c r="C92" s="10">
        <v>13.881913501359101</v>
      </c>
      <c r="D92" s="10">
        <v>56</v>
      </c>
      <c r="E92" s="10">
        <v>320</v>
      </c>
      <c r="F92" s="10">
        <v>9592.6335702803099</v>
      </c>
      <c r="G92" s="10" t="s">
        <v>23</v>
      </c>
      <c r="H92" s="10">
        <v>66</v>
      </c>
      <c r="I92" s="10">
        <v>18</v>
      </c>
      <c r="J92" s="10">
        <v>96</v>
      </c>
      <c r="K92" s="10">
        <v>7</v>
      </c>
      <c r="L92" s="10" t="s">
        <v>24</v>
      </c>
      <c r="M92" s="11">
        <v>7.6744307081126903</v>
      </c>
      <c r="N92" s="10" t="s">
        <v>25</v>
      </c>
      <c r="O92" s="10" t="s">
        <v>50</v>
      </c>
      <c r="P92" s="10">
        <v>8</v>
      </c>
      <c r="Q92" s="10">
        <v>585</v>
      </c>
      <c r="R92" s="10">
        <v>8</v>
      </c>
      <c r="S92" s="11">
        <v>85.675963335797903</v>
      </c>
      <c r="T92" s="10" t="s">
        <v>61</v>
      </c>
      <c r="U92" s="10">
        <v>1.2193822244013801</v>
      </c>
      <c r="V92" s="10" t="s">
        <v>44</v>
      </c>
      <c r="W92" s="10" t="s">
        <v>29</v>
      </c>
      <c r="X92" s="11">
        <v>990.07847250581096</v>
      </c>
      <c r="Y92" s="11">
        <f>tbl_SupplyChaim[Shipping costs]+tbl_SupplyChaim[Manufacturing costs]+tbl_SupplyChaim[Costs]</f>
        <v>1083.4288665497215</v>
      </c>
      <c r="Z92" s="11">
        <f>tbl_SupplyChaim[Revenue Generated]-tbl_SupplyChaim[Total_Cost]</f>
        <v>8509.2047037305892</v>
      </c>
      <c r="AA92" s="11">
        <f>IFERROR(tbl_SupplyChaim[[#This Row],[Revenue Generated]]-(tbl_SupplyChaim[[#This Row],[Total_Cost]]/tbl_SupplyChaim[Revenue Generated]),0)</f>
        <v>9592.520626440788</v>
      </c>
      <c r="AB92" s="10">
        <f>tbl_SupplyChaim[Manufactuing Lead Time]+tbl_SupplyChaim[Shipping times]+tbl_SupplyChaim[Lead times]</f>
        <v>33</v>
      </c>
      <c r="AC92" s="11" t="str">
        <f>_xlfn.IFS(tbl_SupplyChaim[[#This Row],[Total Lead Time]]&gt;50,"HIGH RISK TIME",tbl_SupplyChaim[[#This Row],[Total Lead Time]]&gt;30,"MEDIUM","TRUE","OPTIMAL")</f>
        <v>MEDIUM</v>
      </c>
      <c r="AD92" s="15">
        <v>0.02</v>
      </c>
    </row>
    <row r="93" spans="1:30" ht="15.75" x14ac:dyDescent="0.25">
      <c r="A93" s="10" t="s">
        <v>54</v>
      </c>
      <c r="B93" s="10" t="s">
        <v>142</v>
      </c>
      <c r="C93" s="10">
        <v>62.111965463961702</v>
      </c>
      <c r="D93" s="10">
        <v>90</v>
      </c>
      <c r="E93" s="10">
        <v>916</v>
      </c>
      <c r="F93" s="10">
        <v>1935.20679350759</v>
      </c>
      <c r="G93" s="10" t="s">
        <v>52</v>
      </c>
      <c r="H93" s="10">
        <v>98</v>
      </c>
      <c r="I93" s="10">
        <v>22</v>
      </c>
      <c r="J93" s="10">
        <v>85</v>
      </c>
      <c r="K93" s="10">
        <v>7</v>
      </c>
      <c r="L93" s="10" t="s">
        <v>24</v>
      </c>
      <c r="M93" s="11">
        <v>7.4715140844011403</v>
      </c>
      <c r="N93" s="10" t="s">
        <v>49</v>
      </c>
      <c r="O93" s="10" t="s">
        <v>47</v>
      </c>
      <c r="P93" s="10">
        <v>5</v>
      </c>
      <c r="Q93" s="10">
        <v>207</v>
      </c>
      <c r="R93" s="10">
        <v>28</v>
      </c>
      <c r="S93" s="11">
        <v>39.772882502339897</v>
      </c>
      <c r="T93" s="10" t="s">
        <v>27</v>
      </c>
      <c r="U93" s="10">
        <v>0.62600185820939402</v>
      </c>
      <c r="V93" s="10" t="s">
        <v>44</v>
      </c>
      <c r="W93" s="10" t="s">
        <v>29</v>
      </c>
      <c r="X93" s="11">
        <v>996.77831495062298</v>
      </c>
      <c r="Y93" s="11">
        <f>tbl_SupplyChaim[Shipping costs]+tbl_SupplyChaim[Manufacturing costs]+tbl_SupplyChaim[Costs]</f>
        <v>1044.0227115373641</v>
      </c>
      <c r="Z93" s="11">
        <f>tbl_SupplyChaim[Revenue Generated]-tbl_SupplyChaim[Total_Cost]</f>
        <v>891.18408197022586</v>
      </c>
      <c r="AA93" s="11">
        <f>IFERROR(tbl_SupplyChaim[[#This Row],[Revenue Generated]]-(tbl_SupplyChaim[[#This Row],[Total_Cost]]/tbl_SupplyChaim[Revenue Generated]),0)</f>
        <v>1934.6673045418422</v>
      </c>
      <c r="AB93" s="10">
        <f>tbl_SupplyChaim[Manufactuing Lead Time]+tbl_SupplyChaim[Shipping times]+tbl_SupplyChaim[Lead times]</f>
        <v>57</v>
      </c>
      <c r="AC93" s="11" t="str">
        <f>_xlfn.IFS(tbl_SupplyChaim[[#This Row],[Total Lead Time]]&gt;50,"HIGH RISK TIME",tbl_SupplyChaim[[#This Row],[Total Lead Time]]&gt;30,"MEDIUM","TRUE","OPTIMAL")</f>
        <v>HIGH RISK TIME</v>
      </c>
      <c r="AD93" s="15">
        <v>0.02</v>
      </c>
    </row>
    <row r="94" spans="1:30" ht="15.75" x14ac:dyDescent="0.25">
      <c r="A94" s="10" t="s">
        <v>54</v>
      </c>
      <c r="B94" s="10" t="s">
        <v>143</v>
      </c>
      <c r="C94" s="10">
        <v>47.714233075820196</v>
      </c>
      <c r="D94" s="10">
        <v>44</v>
      </c>
      <c r="E94" s="10">
        <v>276</v>
      </c>
      <c r="F94" s="10">
        <v>2100.1297546259302</v>
      </c>
      <c r="G94" s="10" t="s">
        <v>52</v>
      </c>
      <c r="H94" s="10">
        <v>90</v>
      </c>
      <c r="I94" s="10">
        <v>25</v>
      </c>
      <c r="J94" s="10">
        <v>10</v>
      </c>
      <c r="K94" s="10">
        <v>8</v>
      </c>
      <c r="L94" s="10" t="s">
        <v>24</v>
      </c>
      <c r="M94" s="11">
        <v>4.4695000261236002</v>
      </c>
      <c r="N94" s="10" t="s">
        <v>58</v>
      </c>
      <c r="O94" s="10" t="s">
        <v>26</v>
      </c>
      <c r="P94" s="10">
        <v>4</v>
      </c>
      <c r="Q94" s="10">
        <v>671</v>
      </c>
      <c r="R94" s="10">
        <v>29</v>
      </c>
      <c r="S94" s="11">
        <v>62.612690395614301</v>
      </c>
      <c r="T94" s="10" t="s">
        <v>61</v>
      </c>
      <c r="U94" s="10">
        <v>0.33343182522473902</v>
      </c>
      <c r="V94" s="10" t="s">
        <v>44</v>
      </c>
      <c r="W94" s="10" t="s">
        <v>29</v>
      </c>
      <c r="X94" s="11">
        <v>230.092782536762</v>
      </c>
      <c r="Y94" s="11">
        <f>tbl_SupplyChaim[Shipping costs]+tbl_SupplyChaim[Manufacturing costs]+tbl_SupplyChaim[Costs]</f>
        <v>297.17497295849989</v>
      </c>
      <c r="Z94" s="11">
        <f>tbl_SupplyChaim[Revenue Generated]-tbl_SupplyChaim[Total_Cost]</f>
        <v>1802.9547816674303</v>
      </c>
      <c r="AA94" s="11">
        <f>IFERROR(tbl_SupplyChaim[[#This Row],[Revenue Generated]]-(tbl_SupplyChaim[[#This Row],[Total_Cost]]/tbl_SupplyChaim[Revenue Generated]),0)</f>
        <v>2099.9882514772298</v>
      </c>
      <c r="AB94" s="10">
        <f>tbl_SupplyChaim[Manufactuing Lead Time]+tbl_SupplyChaim[Shipping times]+tbl_SupplyChaim[Lead times]</f>
        <v>62</v>
      </c>
      <c r="AC94" s="11" t="str">
        <f>_xlfn.IFS(tbl_SupplyChaim[[#This Row],[Total Lead Time]]&gt;50,"HIGH RISK TIME",tbl_SupplyChaim[[#This Row],[Total Lead Time]]&gt;30,"MEDIUM","TRUE","OPTIMAL")</f>
        <v>HIGH RISK TIME</v>
      </c>
      <c r="AD94" s="15">
        <v>0.02</v>
      </c>
    </row>
    <row r="95" spans="1:30" ht="15.75" x14ac:dyDescent="0.25">
      <c r="A95" s="10" t="s">
        <v>21</v>
      </c>
      <c r="B95" s="10" t="s">
        <v>144</v>
      </c>
      <c r="C95" s="10">
        <v>69.290831002905406</v>
      </c>
      <c r="D95" s="10">
        <v>88</v>
      </c>
      <c r="E95" s="10">
        <v>114</v>
      </c>
      <c r="F95" s="10">
        <v>4531.4021336919004</v>
      </c>
      <c r="G95" s="10" t="s">
        <v>35</v>
      </c>
      <c r="H95" s="10">
        <v>63</v>
      </c>
      <c r="I95" s="10">
        <v>17</v>
      </c>
      <c r="J95" s="10">
        <v>66</v>
      </c>
      <c r="K95" s="10">
        <v>1</v>
      </c>
      <c r="L95" s="10" t="s">
        <v>40</v>
      </c>
      <c r="M95" s="11">
        <v>7.00643205900439</v>
      </c>
      <c r="N95" s="10" t="s">
        <v>49</v>
      </c>
      <c r="O95" s="10" t="s">
        <v>59</v>
      </c>
      <c r="P95" s="10">
        <v>21</v>
      </c>
      <c r="Q95" s="10">
        <v>824</v>
      </c>
      <c r="R95" s="10">
        <v>20</v>
      </c>
      <c r="S95" s="11">
        <v>35.633652343343797</v>
      </c>
      <c r="T95" s="10" t="s">
        <v>43</v>
      </c>
      <c r="U95" s="10">
        <v>4.1657817954241398</v>
      </c>
      <c r="V95" s="10" t="s">
        <v>37</v>
      </c>
      <c r="W95" s="10" t="s">
        <v>45</v>
      </c>
      <c r="X95" s="11">
        <v>823.52384588815505</v>
      </c>
      <c r="Y95" s="11">
        <f>tbl_SupplyChaim[Shipping costs]+tbl_SupplyChaim[Manufacturing costs]+tbl_SupplyChaim[Costs]</f>
        <v>866.16393029050323</v>
      </c>
      <c r="Z95" s="11">
        <f>tbl_SupplyChaim[Revenue Generated]-tbl_SupplyChaim[Total_Cost]</f>
        <v>3665.2382034013972</v>
      </c>
      <c r="AA95" s="11">
        <f>IFERROR(tbl_SupplyChaim[[#This Row],[Revenue Generated]]-(tbl_SupplyChaim[[#This Row],[Total_Cost]]/tbl_SupplyChaim[Revenue Generated]),0)</f>
        <v>4531.2109866904348</v>
      </c>
      <c r="AB95" s="10">
        <f>tbl_SupplyChaim[Manufactuing Lead Time]+tbl_SupplyChaim[Shipping times]+tbl_SupplyChaim[Lead times]</f>
        <v>38</v>
      </c>
      <c r="AC95" s="11" t="str">
        <f>_xlfn.IFS(tbl_SupplyChaim[[#This Row],[Total Lead Time]]&gt;50,"HIGH RISK TIME",tbl_SupplyChaim[[#This Row],[Total Lead Time]]&gt;30,"MEDIUM","TRUE","OPTIMAL")</f>
        <v>MEDIUM</v>
      </c>
      <c r="AD95" s="15">
        <v>0.02</v>
      </c>
    </row>
    <row r="96" spans="1:30" ht="15.75" x14ac:dyDescent="0.25">
      <c r="A96" s="10" t="s">
        <v>54</v>
      </c>
      <c r="B96" s="10" t="s">
        <v>145</v>
      </c>
      <c r="C96" s="10">
        <v>3.0376887246314102</v>
      </c>
      <c r="D96" s="10">
        <v>97</v>
      </c>
      <c r="E96" s="10">
        <v>987</v>
      </c>
      <c r="F96" s="10">
        <v>7888.3565466618702</v>
      </c>
      <c r="G96" s="10" t="s">
        <v>35</v>
      </c>
      <c r="H96" s="10">
        <v>77</v>
      </c>
      <c r="I96" s="10">
        <v>26</v>
      </c>
      <c r="J96" s="10">
        <v>72</v>
      </c>
      <c r="K96" s="10">
        <v>9</v>
      </c>
      <c r="L96" s="10" t="s">
        <v>24</v>
      </c>
      <c r="M96" s="11">
        <v>6.9429459420325799</v>
      </c>
      <c r="N96" s="10" t="s">
        <v>58</v>
      </c>
      <c r="O96" s="10" t="s">
        <v>47</v>
      </c>
      <c r="P96" s="10">
        <v>12</v>
      </c>
      <c r="Q96" s="10">
        <v>908</v>
      </c>
      <c r="R96" s="10">
        <v>14</v>
      </c>
      <c r="S96" s="11">
        <v>60.387378614862101</v>
      </c>
      <c r="T96" s="10" t="s">
        <v>61</v>
      </c>
      <c r="U96" s="10">
        <v>1.4636074984727701</v>
      </c>
      <c r="V96" s="10" t="s">
        <v>44</v>
      </c>
      <c r="W96" s="10" t="s">
        <v>29</v>
      </c>
      <c r="X96" s="11">
        <v>846.66525698669398</v>
      </c>
      <c r="Y96" s="11">
        <f>tbl_SupplyChaim[Shipping costs]+tbl_SupplyChaim[Manufacturing costs]+tbl_SupplyChaim[Costs]</f>
        <v>913.99558154358863</v>
      </c>
      <c r="Z96" s="11">
        <f>tbl_SupplyChaim[Revenue Generated]-tbl_SupplyChaim[Total_Cost]</f>
        <v>6974.3609651182815</v>
      </c>
      <c r="AA96" s="11">
        <f>IFERROR(tbl_SupplyChaim[[#This Row],[Revenue Generated]]-(tbl_SupplyChaim[[#This Row],[Total_Cost]]/tbl_SupplyChaim[Revenue Generated]),0)</f>
        <v>7888.2406802483611</v>
      </c>
      <c r="AB96" s="10">
        <f>tbl_SupplyChaim[Manufactuing Lead Time]+tbl_SupplyChaim[Shipping times]+tbl_SupplyChaim[Lead times]</f>
        <v>49</v>
      </c>
      <c r="AC96" s="11" t="str">
        <f>_xlfn.IFS(tbl_SupplyChaim[[#This Row],[Total Lead Time]]&gt;50,"HIGH RISK TIME",tbl_SupplyChaim[[#This Row],[Total Lead Time]]&gt;30,"MEDIUM","TRUE","OPTIMAL")</f>
        <v>MEDIUM</v>
      </c>
      <c r="AD96" s="15">
        <v>0.02</v>
      </c>
    </row>
    <row r="97" spans="1:30" ht="15.75" x14ac:dyDescent="0.25">
      <c r="A97" s="10" t="s">
        <v>21</v>
      </c>
      <c r="B97" s="10" t="s">
        <v>146</v>
      </c>
      <c r="C97" s="10">
        <v>77.903927219447695</v>
      </c>
      <c r="D97" s="10">
        <v>65</v>
      </c>
      <c r="E97" s="10">
        <v>672</v>
      </c>
      <c r="F97" s="10">
        <v>7386.3639440486604</v>
      </c>
      <c r="G97" s="10" t="s">
        <v>35</v>
      </c>
      <c r="H97" s="10">
        <v>15</v>
      </c>
      <c r="I97" s="10">
        <v>14</v>
      </c>
      <c r="J97" s="10">
        <v>26</v>
      </c>
      <c r="K97" s="10">
        <v>9</v>
      </c>
      <c r="L97" s="10" t="s">
        <v>24</v>
      </c>
      <c r="M97" s="11">
        <v>8.6303388696027508</v>
      </c>
      <c r="N97" s="10" t="s">
        <v>49</v>
      </c>
      <c r="O97" s="10" t="s">
        <v>26</v>
      </c>
      <c r="P97" s="10">
        <v>18</v>
      </c>
      <c r="Q97" s="10">
        <v>450</v>
      </c>
      <c r="R97" s="10">
        <v>26</v>
      </c>
      <c r="S97" s="11">
        <v>58.890685768589897</v>
      </c>
      <c r="T97" s="10" t="s">
        <v>27</v>
      </c>
      <c r="U97" s="10">
        <v>1.21088212958506</v>
      </c>
      <c r="V97" s="10" t="s">
        <v>37</v>
      </c>
      <c r="W97" s="10" t="s">
        <v>45</v>
      </c>
      <c r="X97" s="11">
        <v>778.86424137664699</v>
      </c>
      <c r="Y97" s="11">
        <f>tbl_SupplyChaim[Shipping costs]+tbl_SupplyChaim[Manufacturing costs]+tbl_SupplyChaim[Costs]</f>
        <v>846.38526601483966</v>
      </c>
      <c r="Z97" s="11">
        <f>tbl_SupplyChaim[Revenue Generated]-tbl_SupplyChaim[Total_Cost]</f>
        <v>6539.9786780338209</v>
      </c>
      <c r="AA97" s="11">
        <f>IFERROR(tbl_SupplyChaim[[#This Row],[Revenue Generated]]-(tbl_SupplyChaim[[#This Row],[Total_Cost]]/tbl_SupplyChaim[Revenue Generated]),0)</f>
        <v>7386.2493565097275</v>
      </c>
      <c r="AB97" s="10">
        <f>tbl_SupplyChaim[Manufactuing Lead Time]+tbl_SupplyChaim[Shipping times]+tbl_SupplyChaim[Lead times]</f>
        <v>49</v>
      </c>
      <c r="AC97" s="11" t="str">
        <f>_xlfn.IFS(tbl_SupplyChaim[[#This Row],[Total Lead Time]]&gt;50,"HIGH RISK TIME",tbl_SupplyChaim[[#This Row],[Total Lead Time]]&gt;30,"MEDIUM","TRUE","OPTIMAL")</f>
        <v>MEDIUM</v>
      </c>
      <c r="AD97" s="15">
        <v>0.02</v>
      </c>
    </row>
    <row r="98" spans="1:30" ht="15.75" x14ac:dyDescent="0.25">
      <c r="A98" s="10" t="s">
        <v>54</v>
      </c>
      <c r="B98" s="10" t="s">
        <v>147</v>
      </c>
      <c r="C98" s="10">
        <v>24.423131420373299</v>
      </c>
      <c r="D98" s="10">
        <v>29</v>
      </c>
      <c r="E98" s="10">
        <v>324</v>
      </c>
      <c r="F98" s="10">
        <v>7698.4247656321104</v>
      </c>
      <c r="G98" s="10" t="s">
        <v>23</v>
      </c>
      <c r="H98" s="10">
        <v>67</v>
      </c>
      <c r="I98" s="10">
        <v>2</v>
      </c>
      <c r="J98" s="10">
        <v>32</v>
      </c>
      <c r="K98" s="10">
        <v>3</v>
      </c>
      <c r="L98" s="10" t="s">
        <v>40</v>
      </c>
      <c r="M98" s="11">
        <v>5.3528780439967996</v>
      </c>
      <c r="N98" s="10" t="s">
        <v>25</v>
      </c>
      <c r="O98" s="10" t="s">
        <v>26</v>
      </c>
      <c r="P98" s="10">
        <v>28</v>
      </c>
      <c r="Q98" s="10">
        <v>648</v>
      </c>
      <c r="R98" s="10">
        <v>28</v>
      </c>
      <c r="S98" s="11">
        <v>17.803756331391199</v>
      </c>
      <c r="T98" s="10" t="s">
        <v>27</v>
      </c>
      <c r="U98" s="10">
        <v>3.8720476814821301</v>
      </c>
      <c r="V98" s="10" t="s">
        <v>28</v>
      </c>
      <c r="W98" s="10" t="s">
        <v>45</v>
      </c>
      <c r="X98" s="11">
        <v>188.74214114905601</v>
      </c>
      <c r="Y98" s="11">
        <f>tbl_SupplyChaim[Shipping costs]+tbl_SupplyChaim[Manufacturing costs]+tbl_SupplyChaim[Costs]</f>
        <v>211.89877552444401</v>
      </c>
      <c r="Z98" s="11">
        <f>tbl_SupplyChaim[Revenue Generated]-tbl_SupplyChaim[Total_Cost]</f>
        <v>7486.5259901076661</v>
      </c>
      <c r="AA98" s="11">
        <f>IFERROR(tbl_SupplyChaim[[#This Row],[Revenue Generated]]-(tbl_SupplyChaim[[#This Row],[Total_Cost]]/tbl_SupplyChaim[Revenue Generated]),0)</f>
        <v>7698.397240679672</v>
      </c>
      <c r="AB98" s="10">
        <f>tbl_SupplyChaim[Manufactuing Lead Time]+tbl_SupplyChaim[Shipping times]+tbl_SupplyChaim[Lead times]</f>
        <v>33</v>
      </c>
      <c r="AC98" s="11" t="str">
        <f>_xlfn.IFS(tbl_SupplyChaim[[#This Row],[Total Lead Time]]&gt;50,"HIGH RISK TIME",tbl_SupplyChaim[[#This Row],[Total Lead Time]]&gt;30,"MEDIUM","TRUE","OPTIMAL")</f>
        <v>MEDIUM</v>
      </c>
      <c r="AD98" s="15">
        <v>0.02</v>
      </c>
    </row>
    <row r="99" spans="1:30" ht="15.75" x14ac:dyDescent="0.25">
      <c r="A99" s="10" t="s">
        <v>21</v>
      </c>
      <c r="B99" s="10" t="s">
        <v>148</v>
      </c>
      <c r="C99" s="10">
        <v>3.5261112591434101</v>
      </c>
      <c r="D99" s="10">
        <v>56</v>
      </c>
      <c r="E99" s="10">
        <v>62</v>
      </c>
      <c r="F99" s="10">
        <v>4370.9165799845296</v>
      </c>
      <c r="G99" s="10" t="s">
        <v>52</v>
      </c>
      <c r="H99" s="10">
        <v>46</v>
      </c>
      <c r="I99" s="10">
        <v>19</v>
      </c>
      <c r="J99" s="10">
        <v>4</v>
      </c>
      <c r="K99" s="10">
        <v>9</v>
      </c>
      <c r="L99" s="10" t="s">
        <v>33</v>
      </c>
      <c r="M99" s="11">
        <v>7.9048456112096703</v>
      </c>
      <c r="N99" s="10" t="s">
        <v>49</v>
      </c>
      <c r="O99" s="10" t="s">
        <v>26</v>
      </c>
      <c r="P99" s="10">
        <v>10</v>
      </c>
      <c r="Q99" s="10">
        <v>535</v>
      </c>
      <c r="R99" s="10">
        <v>13</v>
      </c>
      <c r="S99" s="11">
        <v>65.765155926367399</v>
      </c>
      <c r="T99" s="10" t="s">
        <v>43</v>
      </c>
      <c r="U99" s="10">
        <v>3.3762378347179798</v>
      </c>
      <c r="V99" s="10" t="s">
        <v>28</v>
      </c>
      <c r="W99" s="10" t="s">
        <v>45</v>
      </c>
      <c r="X99" s="11">
        <v>540.13242286796697</v>
      </c>
      <c r="Y99" s="11">
        <f>tbl_SupplyChaim[Shipping costs]+tbl_SupplyChaim[Manufacturing costs]+tbl_SupplyChaim[Costs]</f>
        <v>613.802424405544</v>
      </c>
      <c r="Z99" s="11">
        <f>tbl_SupplyChaim[Revenue Generated]-tbl_SupplyChaim[Total_Cost]</f>
        <v>3757.1141555789854</v>
      </c>
      <c r="AA99" s="11">
        <f>IFERROR(tbl_SupplyChaim[[#This Row],[Revenue Generated]]-(tbl_SupplyChaim[[#This Row],[Total_Cost]]/tbl_SupplyChaim[Revenue Generated]),0)</f>
        <v>4370.7761512178913</v>
      </c>
      <c r="AB99" s="10">
        <f>tbl_SupplyChaim[Manufactuing Lead Time]+tbl_SupplyChaim[Shipping times]+tbl_SupplyChaim[Lead times]</f>
        <v>41</v>
      </c>
      <c r="AC99" s="11" t="str">
        <f>_xlfn.IFS(tbl_SupplyChaim[[#This Row],[Total Lead Time]]&gt;50,"HIGH RISK TIME",tbl_SupplyChaim[[#This Row],[Total Lead Time]]&gt;30,"MEDIUM","TRUE","OPTIMAL")</f>
        <v>MEDIUM</v>
      </c>
      <c r="AD99" s="15">
        <v>0.02</v>
      </c>
    </row>
    <row r="100" spans="1:30" ht="15.75" x14ac:dyDescent="0.25">
      <c r="A100" s="10" t="s">
        <v>30</v>
      </c>
      <c r="B100" s="10" t="s">
        <v>149</v>
      </c>
      <c r="C100" s="10">
        <v>19.754604866878601</v>
      </c>
      <c r="D100" s="10">
        <v>43</v>
      </c>
      <c r="E100" s="10">
        <v>913</v>
      </c>
      <c r="F100" s="10">
        <v>8525.9525596835192</v>
      </c>
      <c r="G100" s="10" t="s">
        <v>32</v>
      </c>
      <c r="H100" s="10">
        <v>53</v>
      </c>
      <c r="I100" s="10">
        <v>1</v>
      </c>
      <c r="J100" s="10">
        <v>27</v>
      </c>
      <c r="K100" s="10">
        <v>7</v>
      </c>
      <c r="L100" s="10" t="s">
        <v>24</v>
      </c>
      <c r="M100" s="11">
        <v>1.4098010951380699</v>
      </c>
      <c r="N100" s="10" t="s">
        <v>41</v>
      </c>
      <c r="O100" s="10" t="s">
        <v>59</v>
      </c>
      <c r="P100" s="10">
        <v>28</v>
      </c>
      <c r="Q100" s="10">
        <v>581</v>
      </c>
      <c r="R100" s="10">
        <v>9</v>
      </c>
      <c r="S100" s="11">
        <v>5.6046908643717801</v>
      </c>
      <c r="T100" s="10" t="s">
        <v>27</v>
      </c>
      <c r="U100" s="10">
        <v>2.9081221693512598</v>
      </c>
      <c r="V100" s="10" t="s">
        <v>44</v>
      </c>
      <c r="W100" s="10" t="s">
        <v>45</v>
      </c>
      <c r="X100" s="11">
        <v>882.19886354704101</v>
      </c>
      <c r="Y100" s="11">
        <f>tbl_SupplyChaim[Shipping costs]+tbl_SupplyChaim[Manufacturing costs]+tbl_SupplyChaim[Costs]</f>
        <v>889.2133555065509</v>
      </c>
      <c r="Z100" s="11">
        <f>tbl_SupplyChaim[Revenue Generated]-tbl_SupplyChaim[Total_Cost]</f>
        <v>7636.7392041769681</v>
      </c>
      <c r="AA100" s="11">
        <f>IFERROR(tbl_SupplyChaim[[#This Row],[Revenue Generated]]-(tbl_SupplyChaim[[#This Row],[Total_Cost]]/tbl_SupplyChaim[Revenue Generated]),0)</f>
        <v>8525.8482647851743</v>
      </c>
      <c r="AB100" s="10">
        <f>tbl_SupplyChaim[Manufactuing Lead Time]+tbl_SupplyChaim[Shipping times]+tbl_SupplyChaim[Lead times]</f>
        <v>17</v>
      </c>
      <c r="AC100" s="11" t="str">
        <f>_xlfn.IFS(tbl_SupplyChaim[[#This Row],[Total Lead Time]]&gt;50,"HIGH RISK TIME",tbl_SupplyChaim[[#This Row],[Total Lead Time]]&gt;30,"MEDIUM","TRUE","OPTIMAL")</f>
        <v>OPTIMAL</v>
      </c>
      <c r="AD100" s="15">
        <v>0.02</v>
      </c>
    </row>
    <row r="101" spans="1:30" ht="15.75" x14ac:dyDescent="0.25">
      <c r="A101" s="10" t="s">
        <v>21</v>
      </c>
      <c r="B101" s="10" t="s">
        <v>150</v>
      </c>
      <c r="C101" s="10">
        <v>68.517832699276596</v>
      </c>
      <c r="D101" s="10">
        <v>17</v>
      </c>
      <c r="E101" s="10">
        <v>627</v>
      </c>
      <c r="F101" s="10">
        <v>9185.1858291817007</v>
      </c>
      <c r="G101" s="10" t="s">
        <v>35</v>
      </c>
      <c r="H101" s="10">
        <v>55</v>
      </c>
      <c r="I101" s="10">
        <v>8</v>
      </c>
      <c r="J101" s="10">
        <v>59</v>
      </c>
      <c r="K101" s="10">
        <v>6</v>
      </c>
      <c r="L101" s="10" t="s">
        <v>24</v>
      </c>
      <c r="M101" s="11">
        <v>1.3110237561206199</v>
      </c>
      <c r="N101" s="10" t="s">
        <v>58</v>
      </c>
      <c r="O101" s="10" t="s">
        <v>59</v>
      </c>
      <c r="P101" s="10">
        <v>29</v>
      </c>
      <c r="Q101" s="10">
        <v>921</v>
      </c>
      <c r="R101" s="10">
        <v>2</v>
      </c>
      <c r="S101" s="11">
        <v>38.072898520625998</v>
      </c>
      <c r="T101" s="10" t="s">
        <v>43</v>
      </c>
      <c r="U101" s="10">
        <v>0.34602729070550298</v>
      </c>
      <c r="V101" s="10" t="s">
        <v>44</v>
      </c>
      <c r="W101" s="10" t="s">
        <v>29</v>
      </c>
      <c r="X101" s="11">
        <v>210.743008964246</v>
      </c>
      <c r="Y101" s="11">
        <f>tbl_SupplyChaim[Shipping costs]+tbl_SupplyChaim[Manufacturing costs]+tbl_SupplyChaim[Costs]</f>
        <v>250.12693124099263</v>
      </c>
      <c r="Z101" s="11">
        <f>tbl_SupplyChaim[Revenue Generated]-tbl_SupplyChaim[Total_Cost]</f>
        <v>8935.0588979407075</v>
      </c>
      <c r="AA101" s="11">
        <f>IFERROR(tbl_SupplyChaim[[#This Row],[Revenue Generated]]-(tbl_SupplyChaim[[#This Row],[Total_Cost]]/tbl_SupplyChaim[Revenue Generated]),0)</f>
        <v>9185.1585976225469</v>
      </c>
      <c r="AB101" s="10">
        <f>tbl_SupplyChaim[Manufactuing Lead Time]+tbl_SupplyChaim[Shipping times]+tbl_SupplyChaim[Lead times]</f>
        <v>16</v>
      </c>
      <c r="AC101" s="11" t="str">
        <f>_xlfn.IFS(tbl_SupplyChaim[[#This Row],[Total Lead Time]]&gt;50,"HIGH RISK TIME",tbl_SupplyChaim[[#This Row],[Total Lead Time]]&gt;30,"MEDIUM","TRUE","OPTIMAL")</f>
        <v>OPTIMAL</v>
      </c>
      <c r="AD101" s="15">
        <v>0.02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52C79-5A93-4FA4-8E13-E26D28F032CB}">
  <sheetPr>
    <tabColor rgb="FFFF0000"/>
  </sheetPr>
  <dimension ref="A1"/>
  <sheetViews>
    <sheetView tabSelected="1" topLeftCell="A4" zoomScale="50" zoomScaleNormal="50" workbookViewId="0">
      <selection activeCell="AD13" sqref="AD13"/>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2D7951-5D89-4E72-9249-571F50F3B7DC}">
  <sheetPr>
    <tabColor theme="6" tint="-0.499984740745262"/>
  </sheetPr>
  <dimension ref="A2:W22"/>
  <sheetViews>
    <sheetView topLeftCell="C1" zoomScale="64" zoomScaleNormal="64" workbookViewId="0">
      <selection activeCell="A7" sqref="A7"/>
    </sheetView>
  </sheetViews>
  <sheetFormatPr defaultRowHeight="15" x14ac:dyDescent="0.25"/>
  <cols>
    <col min="1" max="1" width="33.5703125" bestFit="1" customWidth="1"/>
    <col min="2" max="2" width="40.140625" bestFit="1" customWidth="1"/>
    <col min="3" max="3" width="30" bestFit="1" customWidth="1"/>
    <col min="4" max="4" width="44.28515625" bestFit="1" customWidth="1"/>
    <col min="6" max="6" width="18.42578125" bestFit="1" customWidth="1"/>
    <col min="7" max="7" width="40.140625" bestFit="1" customWidth="1"/>
    <col min="8" max="8" width="33.5703125" bestFit="1" customWidth="1"/>
    <col min="11" max="11" width="18.42578125" bestFit="1" customWidth="1"/>
    <col min="12" max="12" width="32.7109375" bestFit="1" customWidth="1"/>
    <col min="13" max="13" width="27.85546875" bestFit="1" customWidth="1"/>
    <col min="15" max="15" width="13.140625" bestFit="1" customWidth="1"/>
    <col min="16" max="16" width="22.140625" bestFit="1" customWidth="1"/>
    <col min="17" max="17" width="29.42578125" bestFit="1" customWidth="1"/>
    <col min="18" max="18" width="12.5703125" bestFit="1" customWidth="1"/>
    <col min="19" max="19" width="14.42578125" bestFit="1" customWidth="1"/>
    <col min="21" max="21" width="18.42578125" bestFit="1" customWidth="1"/>
    <col min="22" max="22" width="17.7109375" bestFit="1" customWidth="1"/>
    <col min="23" max="23" width="29.5703125" bestFit="1" customWidth="1"/>
  </cols>
  <sheetData>
    <row r="2" spans="1:23" x14ac:dyDescent="0.25">
      <c r="K2" s="4" t="s">
        <v>160</v>
      </c>
      <c r="L2" t="s">
        <v>166</v>
      </c>
      <c r="M2" t="s">
        <v>165</v>
      </c>
      <c r="O2" s="4" t="s">
        <v>160</v>
      </c>
      <c r="P2" t="s">
        <v>163</v>
      </c>
      <c r="Q2" t="s">
        <v>168</v>
      </c>
      <c r="R2" t="s">
        <v>167</v>
      </c>
      <c r="S2" t="s">
        <v>172</v>
      </c>
      <c r="U2" s="4" t="s">
        <v>160</v>
      </c>
      <c r="V2" t="s">
        <v>169</v>
      </c>
      <c r="W2" t="s">
        <v>170</v>
      </c>
    </row>
    <row r="3" spans="1:23" x14ac:dyDescent="0.25">
      <c r="A3" t="s">
        <v>159</v>
      </c>
      <c r="B3" t="s">
        <v>162</v>
      </c>
      <c r="C3" t="s">
        <v>163</v>
      </c>
      <c r="D3" t="s">
        <v>164</v>
      </c>
      <c r="F3" s="4" t="s">
        <v>160</v>
      </c>
      <c r="G3" t="s">
        <v>162</v>
      </c>
      <c r="H3" t="s">
        <v>159</v>
      </c>
      <c r="K3" s="5" t="s">
        <v>37</v>
      </c>
      <c r="L3" s="1">
        <v>6.0178393777286159</v>
      </c>
      <c r="M3" s="3">
        <v>133</v>
      </c>
      <c r="O3" s="5" t="s">
        <v>36</v>
      </c>
      <c r="P3">
        <v>1.8036297116882485</v>
      </c>
      <c r="Q3">
        <v>45.254027195027781</v>
      </c>
      <c r="R3">
        <v>27</v>
      </c>
      <c r="S3">
        <v>0.54</v>
      </c>
      <c r="U3" s="5" t="s">
        <v>50</v>
      </c>
      <c r="V3" s="1"/>
    </row>
    <row r="4" spans="1:23" x14ac:dyDescent="0.25">
      <c r="A4" s="1">
        <v>577604.81873800792</v>
      </c>
      <c r="B4" s="8">
        <v>46099</v>
      </c>
      <c r="C4" s="7">
        <v>2.2771579927396073</v>
      </c>
      <c r="D4" s="6">
        <v>14.77</v>
      </c>
      <c r="F4" s="5" t="s">
        <v>30</v>
      </c>
      <c r="G4">
        <v>20731</v>
      </c>
      <c r="H4">
        <v>241628.16213306302</v>
      </c>
      <c r="K4" s="5" t="s">
        <v>44</v>
      </c>
      <c r="L4" s="1">
        <v>5.4690979361028562</v>
      </c>
      <c r="M4" s="3">
        <v>184</v>
      </c>
      <c r="O4" s="5" t="s">
        <v>58</v>
      </c>
      <c r="P4">
        <v>2.3627501450718764</v>
      </c>
      <c r="Q4">
        <v>41.622514186334527</v>
      </c>
      <c r="R4">
        <v>22</v>
      </c>
      <c r="S4">
        <v>0.44</v>
      </c>
      <c r="U4" s="9" t="s">
        <v>45</v>
      </c>
      <c r="V4" s="1">
        <v>6880.7621608821901</v>
      </c>
      <c r="W4">
        <v>426</v>
      </c>
    </row>
    <row r="5" spans="1:23" x14ac:dyDescent="0.25">
      <c r="F5" s="5" t="s">
        <v>21</v>
      </c>
      <c r="G5">
        <v>13611</v>
      </c>
      <c r="H5">
        <v>174455.39060546222</v>
      </c>
      <c r="K5" s="5" t="s">
        <v>28</v>
      </c>
      <c r="L5" s="1">
        <v>5.542115390045792</v>
      </c>
      <c r="M5" s="3">
        <v>137</v>
      </c>
      <c r="O5" s="5" t="s">
        <v>25</v>
      </c>
      <c r="P5">
        <v>2.4657860307644657</v>
      </c>
      <c r="Q5">
        <v>43.634121313780923</v>
      </c>
      <c r="R5">
        <v>15</v>
      </c>
      <c r="S5">
        <v>0.3</v>
      </c>
      <c r="U5" s="9" t="s">
        <v>29</v>
      </c>
      <c r="V5" s="1">
        <v>2343.1258475145869</v>
      </c>
      <c r="W5">
        <v>290</v>
      </c>
    </row>
    <row r="6" spans="1:23" x14ac:dyDescent="0.25">
      <c r="F6" s="5" t="s">
        <v>54</v>
      </c>
      <c r="G6">
        <v>11757</v>
      </c>
      <c r="H6">
        <v>161521.26599948306</v>
      </c>
      <c r="K6" s="5" t="s">
        <v>53</v>
      </c>
      <c r="L6" s="1">
        <v>4.9702938152238989</v>
      </c>
      <c r="M6" s="3">
        <v>121</v>
      </c>
      <c r="O6" s="5" t="s">
        <v>49</v>
      </c>
      <c r="P6">
        <v>2.3373974005913354</v>
      </c>
      <c r="Q6">
        <v>62.709726881875199</v>
      </c>
      <c r="R6">
        <v>18</v>
      </c>
      <c r="S6">
        <v>0.36</v>
      </c>
      <c r="U6" s="9" t="s">
        <v>38</v>
      </c>
      <c r="V6" s="1">
        <v>1336.833429901307</v>
      </c>
      <c r="W6">
        <v>53</v>
      </c>
    </row>
    <row r="7" spans="1:23" x14ac:dyDescent="0.25">
      <c r="F7" s="5" t="s">
        <v>161</v>
      </c>
      <c r="G7">
        <v>46099</v>
      </c>
      <c r="H7">
        <v>577604.81873800838</v>
      </c>
      <c r="K7" s="5" t="s">
        <v>161</v>
      </c>
      <c r="L7" s="1">
        <v>5.548149072019581</v>
      </c>
      <c r="M7" s="3">
        <v>575</v>
      </c>
      <c r="O7" s="5" t="s">
        <v>41</v>
      </c>
      <c r="P7">
        <v>2.6654083441491982</v>
      </c>
      <c r="Q7">
        <v>44.768243011189483</v>
      </c>
      <c r="R7">
        <v>18</v>
      </c>
      <c r="S7">
        <v>0.36</v>
      </c>
      <c r="U7" s="5" t="s">
        <v>59</v>
      </c>
      <c r="V7" s="1"/>
    </row>
    <row r="8" spans="1:23" x14ac:dyDescent="0.25">
      <c r="O8" s="5" t="s">
        <v>161</v>
      </c>
      <c r="P8">
        <v>2.2771579927396073</v>
      </c>
      <c r="Q8">
        <v>47.266693241469866</v>
      </c>
      <c r="R8">
        <v>100</v>
      </c>
      <c r="S8">
        <v>2</v>
      </c>
      <c r="U8" s="9" t="s">
        <v>45</v>
      </c>
      <c r="V8" s="1">
        <v>3714.280873244506</v>
      </c>
      <c r="W8">
        <v>344</v>
      </c>
    </row>
    <row r="9" spans="1:23" x14ac:dyDescent="0.25">
      <c r="U9" s="9" t="s">
        <v>29</v>
      </c>
      <c r="V9" s="1">
        <v>5566.6205275221746</v>
      </c>
      <c r="W9">
        <v>479</v>
      </c>
    </row>
    <row r="10" spans="1:23" x14ac:dyDescent="0.25">
      <c r="U10" s="9" t="s">
        <v>38</v>
      </c>
      <c r="V10" s="1">
        <v>3154.111791239548</v>
      </c>
      <c r="W10">
        <v>286</v>
      </c>
    </row>
    <row r="11" spans="1:23" x14ac:dyDescent="0.25">
      <c r="U11" s="5" t="s">
        <v>47</v>
      </c>
      <c r="V11" s="1"/>
    </row>
    <row r="12" spans="1:23" x14ac:dyDescent="0.25">
      <c r="U12" s="9" t="s">
        <v>45</v>
      </c>
      <c r="V12" s="1">
        <v>2694.5279652368768</v>
      </c>
      <c r="W12">
        <v>189</v>
      </c>
    </row>
    <row r="13" spans="1:23" x14ac:dyDescent="0.25">
      <c r="U13" s="9" t="s">
        <v>29</v>
      </c>
      <c r="V13" s="1">
        <v>3800.5856620281666</v>
      </c>
      <c r="W13">
        <v>356</v>
      </c>
    </row>
    <row r="14" spans="1:23" x14ac:dyDescent="0.25">
      <c r="U14" s="9" t="s">
        <v>38</v>
      </c>
      <c r="V14" s="1">
        <v>1728.454530159692</v>
      </c>
      <c r="W14">
        <v>188</v>
      </c>
    </row>
    <row r="15" spans="1:23" x14ac:dyDescent="0.25">
      <c r="U15" s="5" t="s">
        <v>42</v>
      </c>
      <c r="V15" s="1"/>
    </row>
    <row r="16" spans="1:23" x14ac:dyDescent="0.25">
      <c r="U16" s="9" t="s">
        <v>45</v>
      </c>
      <c r="V16" s="1">
        <v>4440.6433075530485</v>
      </c>
      <c r="W16">
        <v>535</v>
      </c>
    </row>
    <row r="17" spans="21:23" x14ac:dyDescent="0.25">
      <c r="U17" s="9" t="s">
        <v>29</v>
      </c>
      <c r="V17" s="1">
        <v>6199.5896424006287</v>
      </c>
      <c r="W17">
        <v>541</v>
      </c>
    </row>
    <row r="18" spans="21:23" x14ac:dyDescent="0.25">
      <c r="U18" s="9" t="s">
        <v>38</v>
      </c>
      <c r="V18" s="1">
        <v>1641.512087745851</v>
      </c>
      <c r="W18">
        <v>152</v>
      </c>
    </row>
    <row r="19" spans="21:23" x14ac:dyDescent="0.25">
      <c r="U19" s="5" t="s">
        <v>26</v>
      </c>
      <c r="V19" s="1"/>
    </row>
    <row r="20" spans="21:23" x14ac:dyDescent="0.25">
      <c r="U20" s="9" t="s">
        <v>45</v>
      </c>
      <c r="V20" s="1">
        <v>3145.5601874365425</v>
      </c>
      <c r="W20">
        <v>350</v>
      </c>
    </row>
    <row r="21" spans="21:23" x14ac:dyDescent="0.25">
      <c r="U21" s="9" t="s">
        <v>29</v>
      </c>
      <c r="V21" s="1">
        <v>4129.4623461357778</v>
      </c>
      <c r="W21">
        <v>400</v>
      </c>
    </row>
    <row r="22" spans="21:23" x14ac:dyDescent="0.25">
      <c r="U22" s="9" t="s">
        <v>38</v>
      </c>
      <c r="V22" s="1">
        <v>2148.5078568131607</v>
      </c>
      <c r="W22">
        <v>333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supply_chain_data</vt:lpstr>
      <vt:lpstr>Dashboard (Execuitive View)</vt:lpstr>
      <vt:lpstr>Pivot Engin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Sumit's Computer</dc:creator>
  <cp:lastModifiedBy>sumit mehra</cp:lastModifiedBy>
  <dcterms:created xsi:type="dcterms:W3CDTF">2026-09-08T13:16:07Z</dcterms:created>
  <dcterms:modified xsi:type="dcterms:W3CDTF">2026-09-10T21:40:29Z</dcterms:modified>
</cp:coreProperties>
</file>